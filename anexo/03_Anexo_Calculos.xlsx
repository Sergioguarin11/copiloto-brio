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Datos" sheetId="2" state="visible" r:id="rId4"/>
    <sheet name="Supuestos" sheetId="3" state="visible" r:id="rId5"/>
    <sheet name="Valor_F1" sheetId="4" state="visible" r:id="rId6"/>
    <sheet name="Promesas" sheetId="5" state="visible" r:id="rId7"/>
    <sheet name="PBIs" sheetId="6" state="visible" r:id="rId8"/>
    <sheet name="Priorizacion" sheetId="7" state="visible" r:id="rId9"/>
    <sheet name="Rutas" sheetId="8" state="visible" r:id="rId10"/>
    <sheet name="Capacidad" sheetId="9" state="visible" r:id="rId11"/>
    <sheet name="Fondo_Externo" sheetId="10" state="visible" r:id="rId12"/>
    <sheet name="Uso_Recursos" sheetId="11" state="visible" r:id="rId13"/>
    <sheet name="Portafolio" sheetId="12" state="visible" r:id="rId14"/>
    <sheet name="Decisione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<sst xmlns="http://schemas.openxmlformats.org/spreadsheetml/2006/main" count="1177" uniqueCount="828">
  <si>
    <t xml:space="preserve">03_Anexo_Calculos | Almena Foods</t>
  </si>
  <si>
    <t xml:space="preserve">Anexo auditable de la propuesta del Ingeniero de Producto IA</t>
  </si>
  <si>
    <t xml:space="preserve">Cómo leer este archivo</t>
  </si>
  <si>
    <t xml:space="preserve">Texto azul</t>
  </si>
  <si>
    <t xml:space="preserve">Dato de entrada o supuesto editable</t>
  </si>
  <si>
    <t xml:space="preserve">Fondo amarillo</t>
  </si>
  <si>
    <t xml:space="preserve">Palanca clave: cámbiela y todo se recalcula</t>
  </si>
  <si>
    <t xml:space="preserve">Texto verde</t>
  </si>
  <si>
    <t xml:space="preserve">Referencia a otra hoja</t>
  </si>
  <si>
    <t xml:space="preserve">Texto negro</t>
  </si>
  <si>
    <t xml:space="preserve">Fórmula</t>
  </si>
  <si>
    <t xml:space="preserve">Hojas</t>
  </si>
  <si>
    <t xml:space="preserve">Datos</t>
  </si>
  <si>
    <t xml:space="preserve">Datos del material (02, 03, 05) con fuente y confiabilidad</t>
  </si>
  <si>
    <t xml:space="preserve">Supuestos</t>
  </si>
  <si>
    <t xml:space="preserve">Registro de supuestos S-xx; las palancas están en amarillo</t>
  </si>
  <si>
    <t xml:space="preserve">Valor_F1</t>
  </si>
  <si>
    <t xml:space="preserve">Dimensionamiento de la familia Análisis comercial (IA-01, IA-03, IA-06, IA-07)</t>
  </si>
  <si>
    <t xml:space="preserve">Promesas</t>
  </si>
  <si>
    <t xml:space="preserve">Promesas de negocio expresadas en cifras, marcadas como hipótesis</t>
  </si>
  <si>
    <t xml:space="preserve">PBIs</t>
  </si>
  <si>
    <t xml:space="preserve">Backlog de 24 PBIs por área con horas mín / probable / máx</t>
  </si>
  <si>
    <t xml:space="preserve">Capacidad</t>
  </si>
  <si>
    <t xml:space="preserve">Suma de PBIs en tres escenarios contra las restricciones de 90 días</t>
  </si>
  <si>
    <t xml:space="preserve">Priorizacion</t>
  </si>
  <si>
    <t xml:space="preserve">Puntajes de candidatas y resultado de la priorización</t>
  </si>
  <si>
    <t xml:space="preserve">Rutas</t>
  </si>
  <si>
    <t xml:space="preserve">Construir, comprar, componer o sin IA: matriz ponderada</t>
  </si>
  <si>
    <t xml:space="preserve">Fondo_Externo</t>
  </si>
  <si>
    <t xml:space="preserve">Uso propuesto del fondo externo de hasta COP 30 M (opción C)</t>
  </si>
  <si>
    <t xml:space="preserve">Uso_Recursos</t>
  </si>
  <si>
    <t xml:space="preserve">Cierre: en qué se usa cada hora de cada área y cuánto queda en reserva</t>
  </si>
  <si>
    <t xml:space="preserve">Portafolio</t>
  </si>
  <si>
    <t xml:space="preserve">Las 15 solicitudes con familia, esfuerzo del solicitante y decisión</t>
  </si>
  <si>
    <t xml:space="preserve">Decisiones</t>
  </si>
  <si>
    <t xml:space="preserve">Registro de decisiones D-xx</t>
  </si>
  <si>
    <t xml:space="preserve">Reglas</t>
  </si>
  <si>
    <t xml:space="preserve">Horas liberadas no son ahorro. Ahorro capturable solo con mecanismo explícito (Supuestos S-12). Costos internos son imputados, no caja.</t>
  </si>
  <si>
    <t xml:space="preserve">Datos del material</t>
  </si>
  <si>
    <t xml:space="preserve">Solo datos entregados. Valores en azul. Fuente y confiabilidad según el archivo 03.</t>
  </si>
  <si>
    <t xml:space="preserve">ID</t>
  </si>
  <si>
    <t xml:space="preserve">Variable</t>
  </si>
  <si>
    <t xml:space="preserve">Valor</t>
  </si>
  <si>
    <t xml:space="preserve">Unidad</t>
  </si>
  <si>
    <t xml:space="preserve">Fuente (archivo, hoja)</t>
  </si>
  <si>
    <t xml:space="preserve">Confiabilidad</t>
  </si>
  <si>
    <t xml:space="preserve">Nota crítica</t>
  </si>
  <si>
    <t xml:space="preserve">DAT-01</t>
  </si>
  <si>
    <t xml:space="preserve">Analistas de mercadeo</t>
  </si>
  <si>
    <t xml:space="preserve">personas</t>
  </si>
  <si>
    <t xml:space="preserve">03, Operacion</t>
  </si>
  <si>
    <t xml:space="preserve">Confirmado</t>
  </si>
  <si>
    <t xml:space="preserve">8 de los 12 en la muestra de tiempos</t>
  </si>
  <si>
    <t xml:space="preserve">DAT-02</t>
  </si>
  <si>
    <t xml:space="preserve">Analistas con bitácora de tiempos</t>
  </si>
  <si>
    <t xml:space="preserve">Observado</t>
  </si>
  <si>
    <t xml:space="preserve">No extrapolar sin declarar supuesto</t>
  </si>
  <si>
    <t xml:space="preserve">DAT-03</t>
  </si>
  <si>
    <t xml:space="preserve">Horas semanales por analista en análisis</t>
  </si>
  <si>
    <t xml:space="preserve">h/persona/semana</t>
  </si>
  <si>
    <t xml:space="preserve">Observado en muestra</t>
  </si>
  <si>
    <t xml:space="preserve">Puede no representar a los 12</t>
  </si>
  <si>
    <t xml:space="preserve">DAT-04</t>
  </si>
  <si>
    <t xml:space="preserve">Semanas laborables anuales</t>
  </si>
  <si>
    <t xml:space="preserve">semanas/año</t>
  </si>
  <si>
    <t xml:space="preserve">Estimación</t>
  </si>
  <si>
    <t xml:space="preserve">Solo como supuesto de proyección</t>
  </si>
  <si>
    <t xml:space="preserve">DAT-05</t>
  </si>
  <si>
    <t xml:space="preserve">Costo laboral integral analista</t>
  </si>
  <si>
    <t xml:space="preserve">COP/h</t>
  </si>
  <si>
    <t xml:space="preserve">Estimación de costo</t>
  </si>
  <si>
    <t xml:space="preserve">Costo imputado, NO ahorro de caja</t>
  </si>
  <si>
    <t xml:space="preserve">DAT-06</t>
  </si>
  <si>
    <t xml:space="preserve">Informes comerciales preparados</t>
  </si>
  <si>
    <t xml:space="preserve">informes/mes</t>
  </si>
  <si>
    <t xml:space="preserve">No todos los hacen los mismos 8 analistas</t>
  </si>
  <si>
    <t xml:space="preserve">DAT-07</t>
  </si>
  <si>
    <t xml:space="preserve">Fracción de informes con reproceso</t>
  </si>
  <si>
    <t xml:space="preserve">fracción</t>
  </si>
  <si>
    <t xml:space="preserve">DAT-08</t>
  </si>
  <si>
    <t xml:space="preserve">Horas adicionales por informe reprocesado</t>
  </si>
  <si>
    <t xml:space="preserve">h/informe</t>
  </si>
  <si>
    <t xml:space="preserve">Incluido en las horas semanales; no sumar dos veces</t>
  </si>
  <si>
    <t xml:space="preserve">DAT-09</t>
  </si>
  <si>
    <t xml:space="preserve">Correcciones de información comercial</t>
  </si>
  <si>
    <t xml:space="preserve">h/mes</t>
  </si>
  <si>
    <t xml:space="preserve">Carga del equipo de datos; no es costo evitable validado</t>
  </si>
  <si>
    <t xml:space="preserve">DAT-10</t>
  </si>
  <si>
    <t xml:space="preserve">Alertas de calidad identificadas</t>
  </si>
  <si>
    <t xml:space="preserve">casos/mes</t>
  </si>
  <si>
    <t xml:space="preserve">No todas son errores</t>
  </si>
  <si>
    <t xml:space="preserve">DAT-11</t>
  </si>
  <si>
    <t xml:space="preserve">Alertas que resultaron errores</t>
  </si>
  <si>
    <t xml:space="preserve">Sin impacto económico atribuido</t>
  </si>
  <si>
    <t xml:space="preserve">DAT-12</t>
  </si>
  <si>
    <t xml:space="preserve">Ventas netas anuales de Brío</t>
  </si>
  <si>
    <t xml:space="preserve">COP/año</t>
  </si>
  <si>
    <t xml:space="preserve">03, Negocio y alcance</t>
  </si>
  <si>
    <t xml:space="preserve">Total de la marca; NO es beneficio del proyecto</t>
  </si>
  <si>
    <t xml:space="preserve">DAT-13</t>
  </si>
  <si>
    <t xml:space="preserve">Margen de contribución medio de Brío</t>
  </si>
  <si>
    <t xml:space="preserve">Promedio histórico, no margen incremental</t>
  </si>
  <si>
    <t xml:space="preserve">DAT-14</t>
  </si>
  <si>
    <t xml:space="preserve">Campañas comerciales al año</t>
  </si>
  <si>
    <t xml:space="preserve">campañas/año</t>
  </si>
  <si>
    <t xml:space="preserve">Sin dato de impacto incremental</t>
  </si>
  <si>
    <t xml:space="preserve">DAT-15</t>
  </si>
  <si>
    <t xml:space="preserve">Tiempo mediano de propuesta creativa</t>
  </si>
  <si>
    <t xml:space="preserve">días hábiles</t>
  </si>
  <si>
    <t xml:space="preserve">No medido su efecto en ventas</t>
  </si>
  <si>
    <t xml:space="preserve">DAT-16</t>
  </si>
  <si>
    <t xml:space="preserve">Investigaciones de consumidor</t>
  </si>
  <si>
    <t xml:space="preserve">estudios/año</t>
  </si>
  <si>
    <t xml:space="preserve">Sin baseline de tiempo de lectura</t>
  </si>
  <si>
    <t xml:space="preserve">DAT-17</t>
  </si>
  <si>
    <t xml:space="preserve">Sesiones de decisión con análisis formales</t>
  </si>
  <si>
    <t xml:space="preserve">sesiones/trimestre</t>
  </si>
  <si>
    <t xml:space="preserve">Conteo</t>
  </si>
  <si>
    <t xml:space="preserve">Sin indicador de calidad de decisión</t>
  </si>
  <si>
    <t xml:space="preserve">DAT-18</t>
  </si>
  <si>
    <t xml:space="preserve">Tasa de quiebre reportada</t>
  </si>
  <si>
    <t xml:space="preserve">No auditado</t>
  </si>
  <si>
    <t xml:space="preserve">Cobertura incompleta</t>
  </si>
  <si>
    <t xml:space="preserve">DAT-19</t>
  </si>
  <si>
    <t xml:space="preserve">Error de pronóstico (MAPE total)</t>
  </si>
  <si>
    <t xml:space="preserve">Sin desagregación</t>
  </si>
  <si>
    <t xml:space="preserve">DAT-20</t>
  </si>
  <si>
    <t xml:space="preserve">Tickets internos de soporte</t>
  </si>
  <si>
    <t xml:space="preserve">tickets/mes</t>
  </si>
  <si>
    <t xml:space="preserve">No establece valor económico</t>
  </si>
  <si>
    <t xml:space="preserve">DAT-21</t>
  </si>
  <si>
    <t xml:space="preserve">Fracción de tickets repetitivos</t>
  </si>
  <si>
    <t xml:space="preserve">No se sabe cuánto es automatizable</t>
  </si>
  <si>
    <t xml:space="preserve">DAT-22</t>
  </si>
  <si>
    <t xml:space="preserve">Cartera vencida</t>
  </si>
  <si>
    <t xml:space="preserve">COP, saldo</t>
  </si>
  <si>
    <t xml:space="preserve">Saldo; NO pérdida recuperable</t>
  </si>
  <si>
    <t xml:space="preserve">DAT-23</t>
  </si>
  <si>
    <t xml:space="preserve">Capacidad neta de ingeniería IA</t>
  </si>
  <si>
    <t xml:space="preserve">h/90 días</t>
  </si>
  <si>
    <t xml:space="preserve">03, Recursos y costos</t>
  </si>
  <si>
    <t xml:space="preserve">Ya descontados otros compromisos</t>
  </si>
  <si>
    <t xml:space="preserve">DAT-24</t>
  </si>
  <si>
    <t xml:space="preserve">Disponibilidad equipo de datos</t>
  </si>
  <si>
    <t xml:space="preserve">Cuello de botella</t>
  </si>
  <si>
    <t xml:space="preserve">DAT-25</t>
  </si>
  <si>
    <t xml:space="preserve">Disponibilidad seguridad tecnológica</t>
  </si>
  <si>
    <t xml:space="preserve">DAT-26</t>
  </si>
  <si>
    <t xml:space="preserve">Disponibilidad expertos de Mercadeo</t>
  </si>
  <si>
    <t xml:space="preserve">No garantizadas</t>
  </si>
  <si>
    <t xml:space="preserve">DAT-27</t>
  </si>
  <si>
    <t xml:space="preserve">Tarifa de oportunidad ingeniería</t>
  </si>
  <si>
    <t xml:space="preserve">Costo imputado</t>
  </si>
  <si>
    <t xml:space="preserve">No es salida de caja</t>
  </si>
  <si>
    <t xml:space="preserve">DAT-28</t>
  </si>
  <si>
    <t xml:space="preserve">Tarifa de oportunidad datos</t>
  </si>
  <si>
    <t xml:space="preserve">DAT-29</t>
  </si>
  <si>
    <t xml:space="preserve">Tarifa de oportunidad seguridad</t>
  </si>
  <si>
    <t xml:space="preserve">DAT-30</t>
  </si>
  <si>
    <t xml:space="preserve">Techo de desembolso externo para piloto</t>
  </si>
  <si>
    <t xml:space="preserve">COP/90 días</t>
  </si>
  <si>
    <t xml:space="preserve">Condicionado</t>
  </si>
  <si>
    <t xml:space="preserve">Requiere aprobación</t>
  </si>
  <si>
    <t xml:space="preserve">DAT-31</t>
  </si>
  <si>
    <t xml:space="preserve">Contratos de IA aprobados</t>
  </si>
  <si>
    <t xml:space="preserve">contratos</t>
  </si>
  <si>
    <t xml:space="preserve">Compras requieren ciclo de aprobación</t>
  </si>
  <si>
    <t xml:space="preserve">DAT-32</t>
  </si>
  <si>
    <t xml:space="preserve">Promesa de Comercial: aumento de ventas</t>
  </si>
  <si>
    <t xml:space="preserve">03, Hipotesis no validadas</t>
  </si>
  <si>
    <t xml:space="preserve">Hipótesis</t>
  </si>
  <si>
    <t xml:space="preserve">Sin prueba causal ni control</t>
  </si>
  <si>
    <t xml:space="preserve">DAT-33</t>
  </si>
  <si>
    <t xml:space="preserve">Promesa de Mercadeo: ahorro de tiempo de análisis</t>
  </si>
  <si>
    <t xml:space="preserve">Sin ensayo controlado</t>
  </si>
  <si>
    <t xml:space="preserve">DAT-34</t>
  </si>
  <si>
    <t xml:space="preserve">Plazo del CEO para validar IA-05</t>
  </si>
  <si>
    <t xml:space="preserve">días</t>
  </si>
  <si>
    <t xml:space="preserve">05, Mensaje 02; 02, IA-05</t>
  </si>
  <si>
    <t xml:space="preserve">Evidencia (pedido)</t>
  </si>
  <si>
    <t xml:space="preserve">Pide validación, no producto</t>
  </si>
  <si>
    <t xml:space="preserve">DAT-35</t>
  </si>
  <si>
    <t xml:space="preserve">Días del horizonte</t>
  </si>
  <si>
    <t xml:space="preserve">01_Contexto</t>
  </si>
  <si>
    <t xml:space="preserve">DAT-36</t>
  </si>
  <si>
    <t xml:space="preserve">Tokens promedio por pregunta en la prueba con IA</t>
  </si>
  <si>
    <t xml:space="preserve">tokens/pregunta</t>
  </si>
  <si>
    <t xml:space="preserve">copiloto-brio, out/evaluacion.json (18 preguntas)</t>
  </si>
  <si>
    <t xml:space="preserve">Prueba con datos sintéticos; mín 1.991, máx 7.266</t>
  </si>
  <si>
    <t xml:space="preserve">Registro de supuestos</t>
  </si>
  <si>
    <t xml:space="preserve">Amarillo = palanca editable. Los demás se calculan desde Datos.</t>
  </si>
  <si>
    <t xml:space="preserve">Descripción</t>
  </si>
  <si>
    <t xml:space="preserve">Fórmula / fuente</t>
  </si>
  <si>
    <t xml:space="preserve">S-01</t>
  </si>
  <si>
    <t xml:space="preserve">Horas anuales de análisis observadas (8 analistas)</t>
  </si>
  <si>
    <t xml:space="preserve">h/año</t>
  </si>
  <si>
    <t xml:space="preserve">DAT-02 × DAT-03 × DAT-04</t>
  </si>
  <si>
    <t xml:space="preserve">Observado + estimación</t>
  </si>
  <si>
    <t xml:space="preserve">S-02</t>
  </si>
  <si>
    <t xml:space="preserve">Horas anuales si los 12 analistas trabajan igual (solo escenario)</t>
  </si>
  <si>
    <t xml:space="preserve">DAT-01 × DAT-03 × DAT-04</t>
  </si>
  <si>
    <t xml:space="preserve">Hipótesis: medir a los otros 4</t>
  </si>
  <si>
    <t xml:space="preserve">S-03</t>
  </si>
  <si>
    <t xml:space="preserve">Horas de reproceso al mes (ya incluidas en S-01)</t>
  </si>
  <si>
    <t xml:space="preserve">DAT-06 × DAT-07 × DAT-08</t>
  </si>
  <si>
    <t xml:space="preserve">Confirmado + estimación</t>
  </si>
  <si>
    <t xml:space="preserve">S-04</t>
  </si>
  <si>
    <t xml:space="preserve">Precisión actual de las alertas</t>
  </si>
  <si>
    <t xml:space="preserve">DAT-11 / DAT-10</t>
  </si>
  <si>
    <t xml:space="preserve">S-05</t>
  </si>
  <si>
    <t xml:space="preserve">Brecha de capacidad mínima (esfuerzo bajo solicitado / 240 h)</t>
  </si>
  <si>
    <t xml:space="preserve">veces</t>
  </si>
  <si>
    <t xml:space="preserve">Portafolio E21 / DAT-23</t>
  </si>
  <si>
    <t xml:space="preserve">Rangos no validados</t>
  </si>
  <si>
    <t xml:space="preserve">S-06</t>
  </si>
  <si>
    <t xml:space="preserve">Costo imputado de toda la capacidad interna 90 días (sin expertos)</t>
  </si>
  <si>
    <t xml:space="preserve">COP</t>
  </si>
  <si>
    <t xml:space="preserve">Horas × tarifa por recurso</t>
  </si>
  <si>
    <t xml:space="preserve">S-07</t>
  </si>
  <si>
    <t xml:space="preserve">Escenario conservador de reducción de horas de análisis</t>
  </si>
  <si>
    <t xml:space="preserve">Supuesto propio, anclado al reproceso (S-09)</t>
  </si>
  <si>
    <t xml:space="preserve">S-08</t>
  </si>
  <si>
    <t xml:space="preserve">Escenario base de reducción de horas de análisis</t>
  </si>
  <si>
    <t xml:space="preserve">Supuesto propio</t>
  </si>
  <si>
    <t xml:space="preserve">S-09</t>
  </si>
  <si>
    <t xml:space="preserve">Reproceso como fracción de las horas observadas</t>
  </si>
  <si>
    <t xml:space="preserve">S-03 × 12 / S-01</t>
  </si>
  <si>
    <t xml:space="preserve">S-10</t>
  </si>
  <si>
    <t xml:space="preserve">Sesiones de decisión dentro del plazo de 45 días</t>
  </si>
  <si>
    <t xml:space="preserve">sesiones</t>
  </si>
  <si>
    <t xml:space="preserve">DAT-17 × DAT-34 / DAT-35 (reparto uniforme)</t>
  </si>
  <si>
    <t xml:space="preserve">Conteo + supuesto</t>
  </si>
  <si>
    <t xml:space="preserve">S-11</t>
  </si>
  <si>
    <t xml:space="preserve">[Retirado por D-15] Imprevistos 15 % sobre ingeniería de IA-01; reemplazado por rangos mín/máx por PBI</t>
  </si>
  <si>
    <t xml:space="preserve">Ya no se usa en cálculos</t>
  </si>
  <si>
    <t xml:space="preserve">Retirado</t>
  </si>
  <si>
    <t xml:space="preserve">S-12</t>
  </si>
  <si>
    <t xml:space="preserve">Fracción de horas liberadas capturadas como ahorro de caja</t>
  </si>
  <si>
    <t xml:space="preserve">0 hasta que Mercadeo defina mecanismo (no contratar, quitar horas extra, reasignación medible)</t>
  </si>
  <si>
    <t xml:space="preserve">Por confirmar</t>
  </si>
  <si>
    <t xml:space="preserve">S-13</t>
  </si>
  <si>
    <t xml:space="preserve">Incluir prueba IA-04 en el plan (1 = sí, 0 = no)</t>
  </si>
  <si>
    <t xml:space="preserve">indicador</t>
  </si>
  <si>
    <t xml:space="preserve">Condicionada: herramienta ya licenciada y horas de expertos libres</t>
  </si>
  <si>
    <t xml:space="preserve">Decisión D-09</t>
  </si>
  <si>
    <t xml:space="preserve">S-14</t>
  </si>
  <si>
    <t xml:space="preserve">Reserva mínima de ingeniería para cambios de Dirección</t>
  </si>
  <si>
    <t xml:space="preserve">h</t>
  </si>
  <si>
    <t xml:space="preserve">S-15</t>
  </si>
  <si>
    <t xml:space="preserve">Brecha de capacidad máxima (esfuerzo alto solicitado / 240 h)</t>
  </si>
  <si>
    <t xml:space="preserve">Portafolio F21 / DAT-23</t>
  </si>
  <si>
    <t xml:space="preserve">S-16</t>
  </si>
  <si>
    <t xml:space="preserve">Meta de reducción de horas del piloto IA-01</t>
  </si>
  <si>
    <t xml:space="preserve">Igual a S-08 (D-13)</t>
  </si>
  <si>
    <t xml:space="preserve">S-17</t>
  </si>
  <si>
    <t xml:space="preserve">Umbral mínimo de reducción para seguir</t>
  </si>
  <si>
    <t xml:space="preserve">Igual a S-07 (D-13)</t>
  </si>
  <si>
    <t xml:space="preserve">S-18</t>
  </si>
  <si>
    <t xml:space="preserve">Meta de uso útil del copiloto en el grupo piloto</t>
  </si>
  <si>
    <t xml:space="preserve">Supuesto propio, a acordar con Mercadeo</t>
  </si>
  <si>
    <t xml:space="preserve">S-19</t>
  </si>
  <si>
    <t xml:space="preserve">Umbral mínimo de uso útil</t>
  </si>
  <si>
    <t xml:space="preserve">S-20</t>
  </si>
  <si>
    <t xml:space="preserve">Meta de reproceso en grupo piloto (mitad de DAT-07)</t>
  </si>
  <si>
    <t xml:space="preserve">DAT-07 / 2</t>
  </si>
  <si>
    <t xml:space="preserve">S-21</t>
  </si>
  <si>
    <t xml:space="preserve">Duración de la medición del piloto</t>
  </si>
  <si>
    <t xml:space="preserve">semanas</t>
  </si>
  <si>
    <t xml:space="preserve">Supuesto propio (+ semana 0 de línea base)</t>
  </si>
  <si>
    <t xml:space="preserve">S-22</t>
  </si>
  <si>
    <t xml:space="preserve">Analistas por grupo (piloto y control)</t>
  </si>
  <si>
    <t xml:space="preserve">Mitad de los 8 con bitácora (DAT-02)</t>
  </si>
  <si>
    <t xml:space="preserve">S-23</t>
  </si>
  <si>
    <t xml:space="preserve">Canal corporativo: Microsoft 365 / Teams. Plan B: web interna con inicio de sesión corporativo</t>
  </si>
  <si>
    <t xml:space="preserve">Supuesto</t>
  </si>
  <si>
    <t xml:space="preserve">texto</t>
  </si>
  <si>
    <t xml:space="preserve">Estándar del sector [Por confirmar]</t>
  </si>
  <si>
    <t xml:space="preserve">S-24</t>
  </si>
  <si>
    <t xml:space="preserve">Modelo de IA dentro del acuerdo de nube vigente, previa revisión de Seguridad. Plan B: modelo bajo techo de COP 30 M con aprobación</t>
  </si>
  <si>
    <t xml:space="preserve">Evita proveedor nuevo [Por confirmar]</t>
  </si>
  <si>
    <t xml:space="preserve">S-25</t>
  </si>
  <si>
    <t xml:space="preserve">Ventas salen del ERP en extractos CSV</t>
  </si>
  <si>
    <t xml:space="preserve">Evidencia</t>
  </si>
  <si>
    <t xml:space="preserve">02, IA-01: 'CSV y documentos dispersos'</t>
  </si>
  <si>
    <t xml:space="preserve">S-26</t>
  </si>
  <si>
    <t xml:space="preserve">Tabla de ventas agregada (mes, canal, región), sin datos personales. Plan B: anonimizar</t>
  </si>
  <si>
    <t xml:space="preserve">El copiloto no usa datos de clientes [Por confirmar con Seguridad]</t>
  </si>
  <si>
    <t xml:space="preserve">S-27</t>
  </si>
  <si>
    <t xml:space="preserve">Preguntas por analista por día en el piloto</t>
  </si>
  <si>
    <t xml:space="preserve">preguntas</t>
  </si>
  <si>
    <t xml:space="preserve">S-28</t>
  </si>
  <si>
    <t xml:space="preserve">Días hábiles por mes</t>
  </si>
  <si>
    <t xml:space="preserve">S-30</t>
  </si>
  <si>
    <t xml:space="preserve">Capacidad de trimestres siguientes similar a la actual (240/35/12/20 h)</t>
  </si>
  <si>
    <t xml:space="preserve">Base de la hoja de ruta H2-H3 [Por confirmar]</t>
  </si>
  <si>
    <t xml:space="preserve">S-29</t>
  </si>
  <si>
    <t xml:space="preserve">Tokens del modelo al mes en el piloto</t>
  </si>
  <si>
    <t xml:space="preserve">tokens/mes</t>
  </si>
  <si>
    <t xml:space="preserve">S-22 × S-27 × S-28 × DAT-36</t>
  </si>
  <si>
    <t xml:space="preserve">S-31</t>
  </si>
  <si>
    <t xml:space="preserve">Tarifa externa por hora de datos</t>
  </si>
  <si>
    <t xml:space="preserve">Supuesto propio: ~40 % sobre la tarifa interna de datos (DAT-28) [Por confirmar con Compras]</t>
  </si>
  <si>
    <t xml:space="preserve">S-32</t>
  </si>
  <si>
    <t xml:space="preserve">Contratar servicios de datos sigue el proceso normal de compras (no es proveedor de IA)</t>
  </si>
  <si>
    <t xml:space="preserve">[Por confirmar con Compras]</t>
  </si>
  <si>
    <t xml:space="preserve">S-33</t>
  </si>
  <si>
    <t xml:space="preserve">Horas externas para informes automáticos (IA-06)</t>
  </si>
  <si>
    <t xml:space="preserve">Tope del rango del solicitante (02, IA-06)</t>
  </si>
  <si>
    <t xml:space="preserve">S-34</t>
  </si>
  <si>
    <t xml:space="preserve">Horas externas para auditar datos de quiebres y pronóstico (IA-08/14)</t>
  </si>
  <si>
    <t xml:space="preserve">S-35</t>
  </si>
  <si>
    <t xml:space="preserve">Respaldo del costo del modelo si no está en el acuerdo de nube</t>
  </si>
  <si>
    <t xml:space="preserve">Supuesto propio; tarifa del modelo [Por confirmar]; volumen en S-29</t>
  </si>
  <si>
    <t xml:space="preserve">S-36</t>
  </si>
  <si>
    <t xml:space="preserve">Horas externas de datos para la base única (cubre el escenario máximo)</t>
  </si>
  <si>
    <t xml:space="preserve">Brecha de Datos en escenario máximo: 48 − 35 = 13 h, redondeado</t>
  </si>
  <si>
    <t xml:space="preserve">S-37</t>
  </si>
  <si>
    <t xml:space="preserve">Almena usa Microsoft 365 con Copilot Chat (incluido sin costo adicional, con protección de datos empresariales)</t>
  </si>
  <si>
    <t xml:space="preserve">Copilot Chat sin costo adicional para cuentas Entra con M365 elegible (microsoft.com, precios Microsoft 365 Copilot) [Por confirmar con TI]</t>
  </si>
  <si>
    <t xml:space="preserve">Supuesto + evidencia pública</t>
  </si>
  <si>
    <t xml:space="preserve">S-38</t>
  </si>
  <si>
    <t xml:space="preserve">Licencia Microsoft 365 Copilot (complemento), solo referencia: no se compra en el piloto</t>
  </si>
  <si>
    <t xml:space="preserve">USD/usuario/mes</t>
  </si>
  <si>
    <t xml:space="preserve">microsoft.com, precios Microsoft 365 Copilot, pago anual</t>
  </si>
  <si>
    <t xml:space="preserve">Evidencia pública</t>
  </si>
  <si>
    <t xml:space="preserve">Familia 1: Análisis comercial | Dimensionamiento</t>
  </si>
  <si>
    <t xml:space="preserve">Productividad ≠ ahorro. El valor imputado NO es caja.</t>
  </si>
  <si>
    <t xml:space="preserve">Concepto</t>
  </si>
  <si>
    <t xml:space="preserve">Tipo</t>
  </si>
  <si>
    <t xml:space="preserve">Horas anuales de análisis observadas</t>
  </si>
  <si>
    <t xml:space="preserve">[ESTIMACIÓN]</t>
  </si>
  <si>
    <t xml:space="preserve">Horas si se extrapola a 12 analistas</t>
  </si>
  <si>
    <t xml:space="preserve">[HIPÓTESIS]</t>
  </si>
  <si>
    <t xml:space="preserve">Horas de reproceso al año (incluidas arriba, no sumar)</t>
  </si>
  <si>
    <t xml:space="preserve">S-03 × 12</t>
  </si>
  <si>
    <t xml:space="preserve">Reproceso como % de horas observadas</t>
  </si>
  <si>
    <t xml:space="preserve">Escenarios de productividad (sobre horas observadas)</t>
  </si>
  <si>
    <t xml:space="preserve">Escenario</t>
  </si>
  <si>
    <t xml:space="preserve">% reducción</t>
  </si>
  <si>
    <t xml:space="preserve">Horas liberadas/año</t>
  </si>
  <si>
    <t xml:space="preserve">Valor imputado (COP/año)</t>
  </si>
  <si>
    <t xml:space="preserve">Ahorro capturable (COP/año)</t>
  </si>
  <si>
    <t xml:space="preserve">Nota</t>
  </si>
  <si>
    <t xml:space="preserve">Conservador</t>
  </si>
  <si>
    <t xml:space="preserve">Base</t>
  </si>
  <si>
    <t xml:space="preserve">Promesa de Mercadeo</t>
  </si>
  <si>
    <t xml:space="preserve">Hipótesis sin ensayo; no usar como meta</t>
  </si>
  <si>
    <t xml:space="preserve">Lectura: el valor imputado mide lo que valen las horas, no plata ahorrada. El ahorro capturable es cero mientras S-12 = 0 %.</t>
  </si>
  <si>
    <t xml:space="preserve">Tipos de valor de la familia</t>
  </si>
  <si>
    <t xml:space="preserve">Tipo de valor</t>
  </si>
  <si>
    <t xml:space="preserve">Contenido</t>
  </si>
  <si>
    <t xml:space="preserve">Productividad</t>
  </si>
  <si>
    <t xml:space="preserve">Horas liberadas según escenarios (filas 13-15)</t>
  </si>
  <si>
    <t xml:space="preserve">Ahorro capturable</t>
  </si>
  <si>
    <t xml:space="preserve">Cero por defecto; depende de S-12</t>
  </si>
  <si>
    <t xml:space="preserve">Impacto comercial</t>
  </si>
  <si>
    <t xml:space="preserve">Indirecto vía mejores análisis de Brío; no atribuible en 90 días</t>
  </si>
  <si>
    <t xml:space="preserve">Estratégico</t>
  </si>
  <si>
    <t xml:space="preserve">Definición única de ventas netas; base para IA-02 e IA-05</t>
  </si>
  <si>
    <t xml:space="preserve">Cualitativo</t>
  </si>
  <si>
    <t xml:space="preserve">Recuperación en términos imputados (no es caja)</t>
  </si>
  <si>
    <t xml:space="preserve">Analistas</t>
  </si>
  <si>
    <t xml:space="preserve">Costo imputado IA-01 (COP)</t>
  </si>
  <si>
    <t xml:space="preserve">Meses para recuperar</t>
  </si>
  <si>
    <t xml:space="preserve">Pesimista</t>
  </si>
  <si>
    <t xml:space="preserve">Optimista (12 analistas)</t>
  </si>
  <si>
    <t xml:space="preserve">Base, cargando al copiloto todo el fondo pedido</t>
  </si>
  <si>
    <t xml:space="preserve">Lectura: meses en que las horas liberadas igualan la inversión. Fila 31 = peor caso (parte del fondo es para informes y auditoría). Ninguna cifra es ahorro de caja.</t>
  </si>
  <si>
    <t xml:space="preserve">Promesas de negocio expresadas en cifras</t>
  </si>
  <si>
    <t xml:space="preserve">Todo en esta hoja es [HIPÓTESIS]. Sirve para mostrar el tamaño de la promesa, no el beneficio.</t>
  </si>
  <si>
    <t xml:space="preserve">Por qué no es beneficio</t>
  </si>
  <si>
    <t xml:space="preserve">Ventas anuales de Brío</t>
  </si>
  <si>
    <t xml:space="preserve">Es el total de la marca</t>
  </si>
  <si>
    <t xml:space="preserve">Promesa de aumento de ventas (Comercial)</t>
  </si>
  <si>
    <t xml:space="preserve">Sin grupo de control</t>
  </si>
  <si>
    <t xml:space="preserve">Ventas incrementales prometidas</t>
  </si>
  <si>
    <t xml:space="preserve">B5 × B6</t>
  </si>
  <si>
    <t xml:space="preserve">No resta ventas que igual habrían ocurrido</t>
  </si>
  <si>
    <t xml:space="preserve">Margen medio de Brío</t>
  </si>
  <si>
    <t xml:space="preserve">Promedio histórico, no incremental</t>
  </si>
  <si>
    <t xml:space="preserve">Margen bruto de la promesa</t>
  </si>
  <si>
    <t xml:space="preserve">B7 × B8</t>
  </si>
  <si>
    <t xml:space="preserve">Antes de costo de descuentos y canibalización</t>
  </si>
  <si>
    <t xml:space="preserve">Precisión actual de alertas de datos</t>
  </si>
  <si>
    <t xml:space="preserve">7 de cada 10 alertas no son errores</t>
  </si>
  <si>
    <t xml:space="preserve">Tickets repetitivos al mes</t>
  </si>
  <si>
    <t xml:space="preserve">DAT-20 × DAT-21</t>
  </si>
  <si>
    <t xml:space="preserve">Repetitivo no es automatizable con seguridad</t>
  </si>
  <si>
    <t xml:space="preserve">Backlog de PBIs por área | Estimación por rangos</t>
  </si>
  <si>
    <t xml:space="preserve">Horas mín / probable / máx en azul (estimación propia, a validar con cada área). Incluido: 1 = en el plan.</t>
  </si>
  <si>
    <t xml:space="preserve">Frente</t>
  </si>
  <si>
    <t xml:space="preserve">Área responsable</t>
  </si>
  <si>
    <t xml:space="preserve">Título (acción)</t>
  </si>
  <si>
    <t xml:space="preserve">Para</t>
  </si>
  <si>
    <t xml:space="preserve">Criterio de aceptación</t>
  </si>
  <si>
    <t xml:space="preserve">Puntos</t>
  </si>
  <si>
    <t xml:space="preserve">Ing mín</t>
  </si>
  <si>
    <t xml:space="preserve">Ing prob</t>
  </si>
  <si>
    <t xml:space="preserve">Ing máx</t>
  </si>
  <si>
    <t xml:space="preserve">Datos mín</t>
  </si>
  <si>
    <t xml:space="preserve">Datos prob</t>
  </si>
  <si>
    <t xml:space="preserve">Datos máx</t>
  </si>
  <si>
    <t xml:space="preserve">Seg mín</t>
  </si>
  <si>
    <t xml:space="preserve">Seg prob</t>
  </si>
  <si>
    <t xml:space="preserve">Seg máx</t>
  </si>
  <si>
    <t xml:space="preserve">Exp mín</t>
  </si>
  <si>
    <t xml:space="preserve">Exp prob</t>
  </si>
  <si>
    <t xml:space="preserve">Exp máx</t>
  </si>
  <si>
    <t xml:space="preserve">Incluido</t>
  </si>
  <si>
    <t xml:space="preserve">Nota / otras áreas</t>
  </si>
  <si>
    <t xml:space="preserve">PBI-01</t>
  </si>
  <si>
    <t xml:space="preserve">IA-01</t>
  </si>
  <si>
    <t xml:space="preserve">Acordar la definición única de ventas netas</t>
  </si>
  <si>
    <t xml:space="preserve">Que todos usen la misma cifra</t>
  </si>
  <si>
    <t xml:space="preserve">Definición firmada por Mercadeo, Comercial, Finanzas y Datos</t>
  </si>
  <si>
    <t xml:space="preserve">Comercial y Finanzas: 2-4 h</t>
  </si>
  <si>
    <t xml:space="preserve">PBI-02</t>
  </si>
  <si>
    <t xml:space="preserve">Inventariar fuentes de ventas de Brío y mapearlas a la definición</t>
  </si>
  <si>
    <t xml:space="preserve">Saber de dónde sale cada cifra</t>
  </si>
  <si>
    <t xml:space="preserve">Inventario con fuente, dueño y corte por cada fuente</t>
  </si>
  <si>
    <t xml:space="preserve">PBI-03</t>
  </si>
  <si>
    <t xml:space="preserve">Construir la tabla validada de ventas de Brío</t>
  </si>
  <si>
    <t xml:space="preserve">Tener una sola fuente confiable</t>
  </si>
  <si>
    <t xml:space="preserve">Tabla cuadra 100 % con el cierre de Finanzas en una muestra de meses</t>
  </si>
  <si>
    <t xml:space="preserve">Alcance de meses y canales [Por confirmar]</t>
  </si>
  <si>
    <t xml:space="preserve">PBI-04</t>
  </si>
  <si>
    <t xml:space="preserve">Implementar reglas de calidad sobre la tabla (absorbe IA-03)</t>
  </si>
  <si>
    <t xml:space="preserve">Detectar errores antes de que lleguen a un informe</t>
  </si>
  <si>
    <t xml:space="preserve">Reglas activas y alertas registradas con causa</t>
  </si>
  <si>
    <t xml:space="preserve">IA-03 sin IA</t>
  </si>
  <si>
    <t xml:space="preserve">PBI-05</t>
  </si>
  <si>
    <t xml:space="preserve">Dar soporte de datos durante el piloto</t>
  </si>
  <si>
    <t xml:space="preserve">Resolver dudas de cifras a tiempo</t>
  </si>
  <si>
    <t xml:space="preserve">Dudas atendidas en menos de 1 día hábil</t>
  </si>
  <si>
    <t xml:space="preserve">PBI-06</t>
  </si>
  <si>
    <t xml:space="preserve">Ingeniería</t>
  </si>
  <si>
    <t xml:space="preserve">Definir criterios de aceptación y la batería de preguntas de referencia</t>
  </si>
  <si>
    <t xml:space="preserve">Saber qué es una respuesta correcta</t>
  </si>
  <si>
    <t xml:space="preserve">Batería aprobada por Mercadeo con respuesta correcta calculada a mano</t>
  </si>
  <si>
    <t xml:space="preserve">PBI-07</t>
  </si>
  <si>
    <t xml:space="preserve">Configurar el acceso al modelo de IA aprobado y el entorno</t>
  </si>
  <si>
    <t xml:space="preserve">Poder construir sobre una herramienta permitida</t>
  </si>
  <si>
    <t xml:space="preserve">Entorno funcionando con el modelo aprobado por Seguridad</t>
  </si>
  <si>
    <t xml:space="preserve">Depende de aprobación del modelo</t>
  </si>
  <si>
    <t xml:space="preserve">PBI-08</t>
  </si>
  <si>
    <t xml:space="preserve">Construir la capa que convierte la pregunta en consulta sobre la tabla validada</t>
  </si>
  <si>
    <t xml:space="preserve">Que la IA no calcule cifras</t>
  </si>
  <si>
    <t xml:space="preserve">90 % de la batería genera la consulta correcta</t>
  </si>
  <si>
    <t xml:space="preserve">Núcleo técnico</t>
  </si>
  <si>
    <t xml:space="preserve">PBI-09</t>
  </si>
  <si>
    <t xml:space="preserve">Construir la ficha de trazabilidad y la respuesta 'no tengo el dato'</t>
  </si>
  <si>
    <t xml:space="preserve">Que el analista confíe en cada cifra</t>
  </si>
  <si>
    <t xml:space="preserve">100 % de respuestas con fuente, corte, definición y responsable</t>
  </si>
  <si>
    <t xml:space="preserve">PBI-10</t>
  </si>
  <si>
    <t xml:space="preserve">Construir la interfaz simple de preguntas</t>
  </si>
  <si>
    <t xml:space="preserve">Que el analista pregunte en lenguaje normal</t>
  </si>
  <si>
    <t xml:space="preserve">4 analistas la usan sin ayuda tras 30 minutos de inducción</t>
  </si>
  <si>
    <t xml:space="preserve">PBI-11</t>
  </si>
  <si>
    <t xml:space="preserve">Implementar permisos y registro de preguntas y respuestas</t>
  </si>
  <si>
    <t xml:space="preserve">Controlar quién ve qué y auditar</t>
  </si>
  <si>
    <t xml:space="preserve">Solo usuarios del piloto acceden; 100 % de interacciones registradas</t>
  </si>
  <si>
    <t xml:space="preserve">PBI-12</t>
  </si>
  <si>
    <t xml:space="preserve">Evaluar contra la batería de preguntas y corregir</t>
  </si>
  <si>
    <t xml:space="preserve">Llegar al piloto sin cifras erradas</t>
  </si>
  <si>
    <t xml:space="preserve">100 % de cifras coinciden con el cálculo manual</t>
  </si>
  <si>
    <t xml:space="preserve">PBI-13</t>
  </si>
  <si>
    <t xml:space="preserve">Acompañar el piloto de 4 semanas y ajustar</t>
  </si>
  <si>
    <t xml:space="preserve">Corregir rápido lo que falle</t>
  </si>
  <si>
    <t xml:space="preserve">Retro semanal con analistas y ajustes cerrados</t>
  </si>
  <si>
    <t xml:space="preserve">PBI-14</t>
  </si>
  <si>
    <t xml:space="preserve">Montar la medición piloto vs control</t>
  </si>
  <si>
    <t xml:space="preserve">Saber si el copiloto mejora algo</t>
  </si>
  <si>
    <t xml:space="preserve">Tablero con horas, reproceso, exactitud y uso por grupo</t>
  </si>
  <si>
    <t xml:space="preserve">PBI-15</t>
  </si>
  <si>
    <t xml:space="preserve">Documentar y traspasar a operación</t>
  </si>
  <si>
    <t xml:space="preserve">Que el área opere sin depender del proyecto</t>
  </si>
  <si>
    <t xml:space="preserve">Manual y dueño de operación asignado</t>
  </si>
  <si>
    <t xml:space="preserve">PBI-16</t>
  </si>
  <si>
    <t xml:space="preserve">Seguridad</t>
  </si>
  <si>
    <t xml:space="preserve">Revisar arquitectura, datos y proveedor del modelo</t>
  </si>
  <si>
    <t xml:space="preserve">Usar IA sin exponer información</t>
  </si>
  <si>
    <t xml:space="preserve">Concepto de Seguridad aprobado antes de construir</t>
  </si>
  <si>
    <t xml:space="preserve">Ventas sin datos personales [Por confirmar]</t>
  </si>
  <si>
    <t xml:space="preserve">PBI-17</t>
  </si>
  <si>
    <t xml:space="preserve">Validar permisos y registros antes del piloto</t>
  </si>
  <si>
    <t xml:space="preserve">Salir al piloto con controles</t>
  </si>
  <si>
    <t xml:space="preserve">Checklist de Seguridad firmado</t>
  </si>
  <si>
    <t xml:space="preserve">PBI-18</t>
  </si>
  <si>
    <t xml:space="preserve">IA-02</t>
  </si>
  <si>
    <t xml:space="preserve">Extraer el histórico de promociones y descuentos de Brío</t>
  </si>
  <si>
    <t xml:space="preserve">Tener base para diseñar el experimento</t>
  </si>
  <si>
    <t xml:space="preserve">Histórico por región con descuento y fecha</t>
  </si>
  <si>
    <t xml:space="preserve">Datos parciales</t>
  </si>
  <si>
    <t xml:space="preserve">PBI-19</t>
  </si>
  <si>
    <t xml:space="preserve">Analizar el histórico y diseñar el experimento por regiones</t>
  </si>
  <si>
    <t xml:space="preserve">Probar si las promociones recomendadas venden más</t>
  </si>
  <si>
    <t xml:space="preserve">Diseño con regiones piloto y control aprobado por Comercial y Finanzas</t>
  </si>
  <si>
    <t xml:space="preserve">Comercial: 3-5 h</t>
  </si>
  <si>
    <t xml:space="preserve">PBI-20</t>
  </si>
  <si>
    <t xml:space="preserve">IA-04</t>
  </si>
  <si>
    <t xml:space="preserve">Revisar términos de la herramienta creativa existente</t>
  </si>
  <si>
    <t xml:space="preserve">Proteger derechos y datos de marca</t>
  </si>
  <si>
    <t xml:space="preserve">Concepto de Seguridad sobre la herramienta</t>
  </si>
  <si>
    <t xml:space="preserve">Condicionado (S-13)</t>
  </si>
  <si>
    <t xml:space="preserve">PBI-21</t>
  </si>
  <si>
    <t xml:space="preserve">Preparar guía y ejecutar la prueba creativa con 2-3 briefs en Copilot</t>
  </si>
  <si>
    <t xml:space="preserve">Saber si acelera piezas aprobadas</t>
  </si>
  <si>
    <t xml:space="preserve">Piezas aprobadas y rondas de ajuste medidas</t>
  </si>
  <si>
    <t xml:space="preserve">PBI-22</t>
  </si>
  <si>
    <t xml:space="preserve">IA-05</t>
  </si>
  <si>
    <t xml:space="preserve">Diseñar la rúbrica con Dirección y calificar la línea base</t>
  </si>
  <si>
    <t xml:space="preserve">Tener por primera vez una métrica de calidad de decisión</t>
  </si>
  <si>
    <t xml:space="preserve">Rúbrica aprobada y 5-6 documentos calificados</t>
  </si>
  <si>
    <t xml:space="preserve">Dirección: 2-4 h [Por confirmar]</t>
  </si>
  <si>
    <t xml:space="preserve">PBI-23</t>
  </si>
  <si>
    <t xml:space="preserve">Preparar instrucciones en Copilot Chat y acompañar 3-4 sesiones</t>
  </si>
  <si>
    <t xml:space="preserve">Probar si mejora la calidad del documento sin construir nada</t>
  </si>
  <si>
    <t xml:space="preserve">Calificación ciega de documentos con y sin asistente</t>
  </si>
  <si>
    <t xml:space="preserve">Usa Copilot Chat de Microsoft 365 (S-37)</t>
  </si>
  <si>
    <t xml:space="preserve">PBI-24</t>
  </si>
  <si>
    <t xml:space="preserve">Revisar seguridad de contenido sensible</t>
  </si>
  <si>
    <t xml:space="preserve">Proteger información de Dirección</t>
  </si>
  <si>
    <t xml:space="preserve">Concepto de Seguridad aprobado</t>
  </si>
  <si>
    <t xml:space="preserve">PBI-25</t>
  </si>
  <si>
    <t xml:space="preserve">IA-09/10</t>
  </si>
  <si>
    <t xml:space="preserve">Preparar la evaluación de compra de soporte interno y revisión de contratos</t>
  </si>
  <si>
    <t xml:space="preserve">Comprar con datos en el mes 4 sin empezar de cero</t>
  </si>
  <si>
    <t xml:space="preserve">Requisitos, documento neutral para proveedores y comparación de lista corta</t>
  </si>
  <si>
    <t xml:space="preserve">Sin desembolso; Seguridad revisa términos de datos de la lista corta</t>
  </si>
  <si>
    <t xml:space="preserve">PBI-26</t>
  </si>
  <si>
    <t xml:space="preserve">EXT</t>
  </si>
  <si>
    <t xml:space="preserve">Supervisar el trabajo del equipo externo de datos</t>
  </si>
  <si>
    <t xml:space="preserve">Que la base única y los informes externos cumplan el estándar</t>
  </si>
  <si>
    <t xml:space="preserve">Entregables externos aceptados contra criterios y 0 diferencias</t>
  </si>
  <si>
    <t xml:space="preserve">Depende de aprobar el fondo (D-23)</t>
  </si>
  <si>
    <t xml:space="preserve">PBI-27</t>
  </si>
  <si>
    <t xml:space="preserve">Revisar al proveedor externo de datos</t>
  </si>
  <si>
    <t xml:space="preserve">Dar acceso a datos de ventas sin riesgo</t>
  </si>
  <si>
    <t xml:space="preserve">Concepto de Seguridad y accesos de mínimo privilegio</t>
  </si>
  <si>
    <t xml:space="preserve">PBI-28</t>
  </si>
  <si>
    <t xml:space="preserve">Ampliar la batería de prueba a 50 preguntas con Mercadeo</t>
  </si>
  <si>
    <t xml:space="preserve">Salir a datos reales con más cobertura</t>
  </si>
  <si>
    <t xml:space="preserve">50 preguntas con respuesta correcta calculada a mano</t>
  </si>
  <si>
    <t xml:space="preserve">Expertos de Mercadeo</t>
  </si>
  <si>
    <t xml:space="preserve">Priorización de candidatas</t>
  </si>
  <si>
    <t xml:space="preserve">Puntajes 1-5 en azul (criterio propio). El puntaje apoya la decisión, no la reemplaza.</t>
  </si>
  <si>
    <t xml:space="preserve">Criterio</t>
  </si>
  <si>
    <t xml:space="preserve">Peso</t>
  </si>
  <si>
    <t xml:space="preserve">IA-01 Copiloto</t>
  </si>
  <si>
    <t xml:space="preserve">IA-02 Promociones</t>
  </si>
  <si>
    <t xml:space="preserve">IA-05 Decisiones</t>
  </si>
  <si>
    <t xml:space="preserve">IA-04 Creativo</t>
  </si>
  <si>
    <t xml:space="preserve">Qué mide</t>
  </si>
  <si>
    <t xml:space="preserve">Valor (con evidencia)</t>
  </si>
  <si>
    <t xml:space="preserve">Horas, dinero o riesgo con dato que lo respalde</t>
  </si>
  <si>
    <t xml:space="preserve">Urgencia</t>
  </si>
  <si>
    <t xml:space="preserve">Plazo declarado y presión de Dirección</t>
  </si>
  <si>
    <t xml:space="preserve">Patrocinio</t>
  </si>
  <si>
    <t xml:space="preserve">Peso y compromiso del patrocinador</t>
  </si>
  <si>
    <t xml:space="preserve">Facilidad (datos y riesgo)</t>
  </si>
  <si>
    <t xml:space="preserve">Datos disponibles, sin bloqueos legales</t>
  </si>
  <si>
    <t xml:space="preserve">Reutilización</t>
  </si>
  <si>
    <t xml:space="preserve">Sirve de base a otras iniciativas</t>
  </si>
  <si>
    <t xml:space="preserve">Total ponderado</t>
  </si>
  <si>
    <t xml:space="preserve">Horas ingeniería (plan)</t>
  </si>
  <si>
    <t xml:space="preserve">Resultado</t>
  </si>
  <si>
    <t xml:space="preserve">Seleccionada (D-11)</t>
  </si>
  <si>
    <t xml:space="preserve">Finalista: experimento</t>
  </si>
  <si>
    <t xml:space="preserve">Finalista: validación</t>
  </si>
  <si>
    <t xml:space="preserve">Prueba condicionada</t>
  </si>
  <si>
    <t xml:space="preserve">Pesos en 1 = todos los criterios valen igual. Cambie un peso para probar la sensibilidad del ranking.</t>
  </si>
  <si>
    <t xml:space="preserve">Rutas de implementación de IA-01</t>
  </si>
  <si>
    <t xml:space="preserve">Pesos en amarillo y puntajes 1-5 en azul (criterio propio). El total es SUMPRODUCT.</t>
  </si>
  <si>
    <t xml:space="preserve">A. Construir</t>
  </si>
  <si>
    <t xml:space="preserve">B. Comprar</t>
  </si>
  <si>
    <t xml:space="preserve">C. Componer</t>
  </si>
  <si>
    <t xml:space="preserve">D. Sin IA</t>
  </si>
  <si>
    <t xml:space="preserve">Por qué</t>
  </si>
  <si>
    <t xml:space="preserve">D no ataca el tiempo de análisis</t>
  </si>
  <si>
    <t xml:space="preserve">Velocidad</t>
  </si>
  <si>
    <t xml:space="preserve">B: 0 contratos aprobados, ciclo de compra</t>
  </si>
  <si>
    <t xml:space="preserve">Esfuerzo</t>
  </si>
  <si>
    <t xml:space="preserve">C reutiliza canal, modelo y datos</t>
  </si>
  <si>
    <t xml:space="preserve">Todas dependen de la tabla validada</t>
  </si>
  <si>
    <t xml:space="preserve">Riesgo</t>
  </si>
  <si>
    <t xml:space="preserve">A: modelo sin contrato; B: dependencia de licencias</t>
  </si>
  <si>
    <t xml:space="preserve">Sostenibilidad</t>
  </si>
  <si>
    <t xml:space="preserve">A: todo propio que mantener</t>
  </si>
  <si>
    <t xml:space="preserve">Elegida</t>
  </si>
  <si>
    <t xml:space="preserve">Lectura: C supera a D por poco porque D está contenida en C (la tabla validada es la base de ambas). Si en el piloto el grupo control mejora igual, se cae a D.</t>
  </si>
  <si>
    <t xml:space="preserve">Verificación de capacidad | 90 días</t>
  </si>
  <si>
    <t xml:space="preserve">Suma de la hoja PBIs (solo incluidos) en tres escenarios, contra lo disponible.</t>
  </si>
  <si>
    <t xml:space="preserve">Ingeniería (h)</t>
  </si>
  <si>
    <t xml:space="preserve">Datos (h)</t>
  </si>
  <si>
    <t xml:space="preserve">Seguridad (h)</t>
  </si>
  <si>
    <t xml:space="preserve">Expertos Mercadeo (h)</t>
  </si>
  <si>
    <t xml:space="preserve">Total planeado</t>
  </si>
  <si>
    <t xml:space="preserve">Mínimo</t>
  </si>
  <si>
    <t xml:space="preserve">Probable</t>
  </si>
  <si>
    <t xml:space="preserve">Máximo</t>
  </si>
  <si>
    <t xml:space="preserve">Disponible</t>
  </si>
  <si>
    <t xml:space="preserve">Holgura</t>
  </si>
  <si>
    <t xml:space="preserve">Estado</t>
  </si>
  <si>
    <t xml:space="preserve">Reserva de ingeniería (escenario probable)</t>
  </si>
  <si>
    <t xml:space="preserve">Horas por frente (escenario probable)</t>
  </si>
  <si>
    <t xml:space="preserve">Costo imputado interno (COP)</t>
  </si>
  <si>
    <t xml:space="preserve">Ingeniería máx (h)</t>
  </si>
  <si>
    <t xml:space="preserve">Total</t>
  </si>
  <si>
    <t xml:space="preserve">Desembolso externo pedido (COP)</t>
  </si>
  <si>
    <t xml:space="preserve">Detalle en Fondo_Externo; requiere aprobación (DAT-30); 0 contratos de IA (DAT-31)</t>
  </si>
  <si>
    <t xml:space="preserve">EXT = trabajo con el equipo externo de datos (fondo). IA-09/10 = evaluación de compra sin desembolso. Expertos sin tarifa [Por confirmar]. Rangos por PBI: estimación propia (D-15).</t>
  </si>
  <si>
    <t xml:space="preserve">Fondo externo: uso propuesto (opción C, D-23)</t>
  </si>
  <si>
    <t xml:space="preserve">Techo de hasta COP 30 M condicionado a aprobación. Se pide solo lo que se va a usar.</t>
  </si>
  <si>
    <t xml:space="preserve">Uso</t>
  </si>
  <si>
    <t xml:space="preserve">Horas</t>
  </si>
  <si>
    <t xml:space="preserve">Tarifa (COP/h)</t>
  </si>
  <si>
    <t xml:space="preserve">Costo (COP)</t>
  </si>
  <si>
    <t xml:space="preserve">Incluido (1/0)</t>
  </si>
  <si>
    <t xml:space="preserve">Pedido (COP)</t>
  </si>
  <si>
    <t xml:space="preserve">1. Horas externas de datos para la base única</t>
  </si>
  <si>
    <t xml:space="preserve">Cubre la brecha de Datos del escenario máximo del copiloto</t>
  </si>
  <si>
    <t xml:space="preserve">2. Informes automáticos sobre la base única (IA-06, sin IA)</t>
  </si>
  <si>
    <t xml:space="preserve">Destraba un pedido sin horas internas de Datos; comparte horas con el copiloto: no sumar beneficios</t>
  </si>
  <si>
    <t xml:space="preserve">3. Auditar datos de quiebres y pronóstico (IA-08/14)</t>
  </si>
  <si>
    <t xml:space="preserve">Arrancan en el mes 4 con línea base real; requiere aprobación explícita de Finanzas (va más allá del piloto)</t>
  </si>
  <si>
    <t xml:space="preserve">4. Respaldo del costo del modelo de IA</t>
  </si>
  <si>
    <t xml:space="preserve">Solo si el modelo no está en el acuerdo de nube (S-24)</t>
  </si>
  <si>
    <t xml:space="preserve">Total pedido</t>
  </si>
  <si>
    <t xml:space="preserve">Techo disponible</t>
  </si>
  <si>
    <t xml:space="preserve">No se pide</t>
  </si>
  <si>
    <t xml:space="preserve">Cambie Incluido a 0 para ver las opciones: A = solo usos 1 y 4; B = usos 1, 2 y 4; C = todos. Cambie la tarifa en Supuestos S-31.</t>
  </si>
  <si>
    <t xml:space="preserve">Uso de cada recurso en 90 días (escenario probable)</t>
  </si>
  <si>
    <t xml:space="preserve">Cierre de lo que abrimos: cada hora disponible tiene destino. Suma de la hoja PBIs.</t>
  </si>
  <si>
    <t xml:space="preserve">Expertos (h)</t>
  </si>
  <si>
    <t xml:space="preserve">Copiloto de análisis</t>
  </si>
  <si>
    <t xml:space="preserve">Experimento de promociones</t>
  </si>
  <si>
    <t xml:space="preserve">Validación de decisiones</t>
  </si>
  <si>
    <t xml:space="preserve">Evaluación de compra: soporte y contratos</t>
  </si>
  <si>
    <t xml:space="preserve">Trabajo con el equipo externo de datos</t>
  </si>
  <si>
    <t xml:space="preserve">Prueba creativa (si se activa, S-13)</t>
  </si>
  <si>
    <t xml:space="preserve">Asignado</t>
  </si>
  <si>
    <t xml:space="preserve">Reserva sin asignar</t>
  </si>
  <si>
    <t xml:space="preserve">Ingeniería: margen para pedidos nuevos de Dirección (S-14)</t>
  </si>
  <si>
    <t xml:space="preserve">Reserva de ingeniería ≥ S-14</t>
  </si>
  <si>
    <t xml:space="preserve">Dinero externo pedido (COP)</t>
  </si>
  <si>
    <t xml:space="preserve">Dinero externo no pedido (COP)</t>
  </si>
  <si>
    <t xml:space="preserve">Portafolio de 15 solicitudes</t>
  </si>
  <si>
    <t xml:space="preserve">Esfuerzo = rango del solicitante (no validado). Decisión preliminar del diagnóstico.</t>
  </si>
  <si>
    <t xml:space="preserve">Iniciativa</t>
  </si>
  <si>
    <t xml:space="preserve">Familia</t>
  </si>
  <si>
    <t xml:space="preserve">Patrocinador</t>
  </si>
  <si>
    <t xml:space="preserve">Esfuerzo bajo (h)</t>
  </si>
  <si>
    <t xml:space="preserve">Esfuerzo alto (h)</t>
  </si>
  <si>
    <t xml:space="preserve">Urgencia declarada</t>
  </si>
  <si>
    <t xml:space="preserve">Decisión preliminar</t>
  </si>
  <si>
    <t xml:space="preserve">Ruta</t>
  </si>
  <si>
    <t xml:space="preserve">Copiloto de análisis comercial Brío</t>
  </si>
  <si>
    <t xml:space="preserve">1. Análisis comercial</t>
  </si>
  <si>
    <t xml:space="preserve">Mercadeo</t>
  </si>
  <si>
    <t xml:space="preserve">Próximas 8 semanas</t>
  </si>
  <si>
    <t xml:space="preserve">Iniciar (cifras confiables)</t>
  </si>
  <si>
    <t xml:space="preserve">IA + datos</t>
  </si>
  <si>
    <t xml:space="preserve">Recomendador de promociones</t>
  </si>
  <si>
    <t xml:space="preserve">2. Ventas y promociones</t>
  </si>
  <si>
    <t xml:space="preserve">CEO / Comercial</t>
  </si>
  <si>
    <t xml:space="preserve">Demostración en 30 días</t>
  </si>
  <si>
    <t xml:space="preserve">Investigar / experimentar</t>
  </si>
  <si>
    <t xml:space="preserve">Diseño de experimento</t>
  </si>
  <si>
    <t xml:space="preserve">IA-03</t>
  </si>
  <si>
    <t xml:space="preserve">Alertas de anomalías comerciales</t>
  </si>
  <si>
    <t xml:space="preserve">6. Control y anomalías</t>
  </si>
  <si>
    <t xml:space="preserve">Datos / Contraloría</t>
  </si>
  <si>
    <t xml:space="preserve">Próximas 6 semanas</t>
  </si>
  <si>
    <t xml:space="preserve">Iniciar dentro de IA-01</t>
  </si>
  <si>
    <t xml:space="preserve">Reglas, sin IA</t>
  </si>
  <si>
    <t xml:space="preserve">Generador de variantes creativas</t>
  </si>
  <si>
    <t xml:space="preserve">3. Creatividad</t>
  </si>
  <si>
    <t xml:space="preserve">CEO / Mercadeo</t>
  </si>
  <si>
    <t xml:space="preserve">Demo para comité en 30 días</t>
  </si>
  <si>
    <t xml:space="preserve">Experimentar (condicionado)</t>
  </si>
  <si>
    <t xml:space="preserve">Herramienta existente</t>
  </si>
  <si>
    <t xml:space="preserve">Asistente para Análisis de Decisión</t>
  </si>
  <si>
    <t xml:space="preserve">4. Decisiones</t>
  </si>
  <si>
    <t xml:space="preserve">CEO / Planeación</t>
  </si>
  <si>
    <t xml:space="preserve">Primer piloto en 45 días</t>
  </si>
  <si>
    <t xml:space="preserve">Validación con rúbrica</t>
  </si>
  <si>
    <t xml:space="preserve">IA-06</t>
  </si>
  <si>
    <t xml:space="preserve">Automatizar informes comerciales</t>
  </si>
  <si>
    <t xml:space="preserve">Comercial</t>
  </si>
  <si>
    <t xml:space="preserve">Este trimestre</t>
  </si>
  <si>
    <t xml:space="preserve">Posponer (sin horas de Datos)</t>
  </si>
  <si>
    <t xml:space="preserve">Automatización, sin IA</t>
  </si>
  <si>
    <t xml:space="preserve">IA-07</t>
  </si>
  <si>
    <t xml:space="preserve">Síntesis de investigaciones de consumidor</t>
  </si>
  <si>
    <t xml:space="preserve">CEO / Investigación</t>
  </si>
  <si>
    <t xml:space="preserve">En 60 días</t>
  </si>
  <si>
    <t xml:space="preserve">Posponer</t>
  </si>
  <si>
    <t xml:space="preserve">—</t>
  </si>
  <si>
    <t xml:space="preserve">IA-08</t>
  </si>
  <si>
    <t xml:space="preserve">Prevención de quiebres de inventario</t>
  </si>
  <si>
    <t xml:space="preserve">5. Predicción clásica</t>
  </si>
  <si>
    <t xml:space="preserve">Operaciones</t>
  </si>
  <si>
    <t xml:space="preserve">Próximo trimestre</t>
  </si>
  <si>
    <t xml:space="preserve">Posponer; medir bien</t>
  </si>
  <si>
    <t xml:space="preserve">Analítica predictiva</t>
  </si>
  <si>
    <t xml:space="preserve">IA-09</t>
  </si>
  <si>
    <t xml:space="preserve">Asistente de soporte interno</t>
  </si>
  <si>
    <t xml:space="preserve">7. Asistentes internos</t>
  </si>
  <si>
    <t xml:space="preserve">Servicios internos</t>
  </si>
  <si>
    <t xml:space="preserve">Sin fecha</t>
  </si>
  <si>
    <t xml:space="preserve">Posponer; preparar compra</t>
  </si>
  <si>
    <t xml:space="preserve">Comprar</t>
  </si>
  <si>
    <t xml:space="preserve">IA-10</t>
  </si>
  <si>
    <t xml:space="preserve">Revisión inicial de contratos</t>
  </si>
  <si>
    <t xml:space="preserve">Jurídica</t>
  </si>
  <si>
    <t xml:space="preserve">Piloto en 60 días</t>
  </si>
  <si>
    <t xml:space="preserve">Posponer; clasificar y medir</t>
  </si>
  <si>
    <t xml:space="preserve">Comprar / evaluar</t>
  </si>
  <si>
    <t xml:space="preserve">IA-11</t>
  </si>
  <si>
    <t xml:space="preserve">Predicción de riesgo de recaudo</t>
  </si>
  <si>
    <t xml:space="preserve">Finanzas</t>
  </si>
  <si>
    <t xml:space="preserve">No abordar ahora</t>
  </si>
  <si>
    <t xml:space="preserve">IA-12</t>
  </si>
  <si>
    <t xml:space="preserve">Adaptación creativa a filiales</t>
  </si>
  <si>
    <t xml:space="preserve">Mercadeo regional</t>
  </si>
  <si>
    <t xml:space="preserve">Segundo semestre</t>
  </si>
  <si>
    <t xml:space="preserve">IA-13</t>
  </si>
  <si>
    <t xml:space="preserve">Asistente de visita comercial</t>
  </si>
  <si>
    <t xml:space="preserve">Ventas</t>
  </si>
  <si>
    <t xml:space="preserve">CEO pregunta por demo</t>
  </si>
  <si>
    <t xml:space="preserve">IA-14</t>
  </si>
  <si>
    <t xml:space="preserve">Pronóstico de demanda por marca</t>
  </si>
  <si>
    <t xml:space="preserve">Planeación</t>
  </si>
  <si>
    <t xml:space="preserve">En el año</t>
  </si>
  <si>
    <t xml:space="preserve">IA-15</t>
  </si>
  <si>
    <t xml:space="preserve">Control de reembolsos comerciales</t>
  </si>
  <si>
    <t xml:space="preserve">Finanzas / Auditoría</t>
  </si>
  <si>
    <t xml:space="preserve">Urgente (Auditoría)</t>
  </si>
  <si>
    <t xml:space="preserve">Resolver sin IA</t>
  </si>
  <si>
    <t xml:space="preserve">Reglas + muestreo</t>
  </si>
  <si>
    <t xml:space="preserve">Total solicitado</t>
  </si>
  <si>
    <t xml:space="preserve">Veces la capacidad de ingeniería</t>
  </si>
  <si>
    <t xml:space="preserve">Pedidos del CEO (IA-02+IA-04+IA-05)</t>
  </si>
  <si>
    <t xml:space="preserve">Fuente: 02_Portafolio_IA.xlsx, hoja Solicitudes. Decisiones: hoja Decisiones.</t>
  </si>
  <si>
    <t xml:space="preserve">Registro de decisiones</t>
  </si>
  <si>
    <t xml:space="preserve">Decide: Sergio (Ingeniero de Producto IA). Fecha de registro.</t>
  </si>
  <si>
    <t xml:space="preserve">Fecha</t>
  </si>
  <si>
    <t xml:space="preserve">Decisión</t>
  </si>
  <si>
    <t xml:space="preserve">Alternativas descartadas</t>
  </si>
  <si>
    <t xml:space="preserve">Quién</t>
  </si>
  <si>
    <t xml:space="preserve">D-01</t>
  </si>
  <si>
    <t xml:space="preserve">2026-10-21</t>
  </si>
  <si>
    <t xml:space="preserve">Agrupar las 15 solicitudes en 7 familias por personas, tipo de solución o valor prometido</t>
  </si>
  <si>
    <t xml:space="preserve">Sergio</t>
  </si>
  <si>
    <t xml:space="preserve">D-02</t>
  </si>
  <si>
    <t xml:space="preserve">Familia 1: copiloto con cifras confiables (definición única de ventas netas + asistente que consulta, no calcula)</t>
  </si>
  <si>
    <t xml:space="preserve">A: copiloto sobre datos actuales; C: solo BI sin IA</t>
  </si>
  <si>
    <t xml:space="preserve">D-03</t>
  </si>
  <si>
    <t xml:space="preserve">Familia 2: IA-02 se valida con experimento en regiones comparables; IA-13 se pospone</t>
  </si>
  <si>
    <t xml:space="preserve">A: construir recomendador; C: no abordar</t>
  </si>
  <si>
    <t xml:space="preserve">D-04</t>
  </si>
  <si>
    <t xml:space="preserve">Familia 3: IA-04 prueba corta con herramienta existente; IA-12 se pospone</t>
  </si>
  <si>
    <t xml:space="preserve">A: construir generador; C: posponer</t>
  </si>
  <si>
    <t xml:space="preserve">D-05</t>
  </si>
  <si>
    <t xml:space="preserve">Familia 4: IA-05 se valida con rúbrica de calidad del documento de decisión en 45 días</t>
  </si>
  <si>
    <t xml:space="preserve">A: construir asistente; C: posponer</t>
  </si>
  <si>
    <t xml:space="preserve">D-06</t>
  </si>
  <si>
    <t xml:space="preserve">Familia 5: IA-08 e IA-14 se posponen y se unen; Planeación mide bien primero. IA-11 no se aborda</t>
  </si>
  <si>
    <t xml:space="preserve">A: iniciar IA-14; C: no abordar</t>
  </si>
  <si>
    <t xml:space="preserve">D-07</t>
  </si>
  <si>
    <t xml:space="preserve">Familia 6: reglas sin IA. IA-03 dentro de IA-01; IA-15 reglas + muestreo de Auditoría</t>
  </si>
  <si>
    <t xml:space="preserve">A: detector con IA; C: posponer</t>
  </si>
  <si>
    <t xml:space="preserve">D-08</t>
  </si>
  <si>
    <t xml:space="preserve">Familia 7: preparar y evaluar compra; IA-09 actualizar base de conocimiento, IA-10 clasificar y medir</t>
  </si>
  <si>
    <t xml:space="preserve">A: construir ambos; C: no abordar</t>
  </si>
  <si>
    <t xml:space="preserve">D-09</t>
  </si>
  <si>
    <t xml:space="preserve">Capacidad: IA-04 condicionada (herramienta ya licenciada y expertos libres); IA-06 fuera del trimestre; 40 h de ingeniería como reserva</t>
  </si>
  <si>
    <t xml:space="preserve">A: mantener los 5 frentes sin condición; C: quitar IA-02</t>
  </si>
  <si>
    <t xml:space="preserve">D-10</t>
  </si>
  <si>
    <t xml:space="preserve">Finalistas: IA-01, IA-02, IA-05. IA-04 sigue como prueba condicionada fuera de la comparación</t>
  </si>
  <si>
    <t xml:space="preserve">B: IA-01, IA-02, IA-04; C: IA-01, IA-05, IA-04</t>
  </si>
  <si>
    <t xml:space="preserve">D-11</t>
  </si>
  <si>
    <t xml:space="preserve">Iniciativa seleccionada: IA-01. IA-02 e IA-05 avanzan en paralelo como experimentos</t>
  </si>
  <si>
    <t xml:space="preserve">IA-02 o IA-05 como seleccionada</t>
  </si>
  <si>
    <t xml:space="preserve">D-13</t>
  </si>
  <si>
    <t xml:space="preserve">Meta de IA-01: -20 % de horas de análisis; umbral mínimo -10 %</t>
  </si>
  <si>
    <t xml:space="preserve">A: -10 %; C: -40 % de Mercadeo</t>
  </si>
  <si>
    <t xml:space="preserve">D-14</t>
  </si>
  <si>
    <t xml:space="preserve">Atribución: grupo control también usa la tabla validada; la diferencia piloto vs control es el efecto del copiloto</t>
  </si>
  <si>
    <t xml:space="preserve">Control sin tabla validada</t>
  </si>
  <si>
    <t xml:space="preserve">D-15</t>
  </si>
  <si>
    <t xml:space="preserve">Estimar por PBIs y áreas con rango mín/probable/máx; se retira el 15 % de imprevistos. IA-04 fuera del plan base (S-13 = 0) porque en el escenario probable excede expertos</t>
  </si>
  <si>
    <t xml:space="preserve">Un número por tarea</t>
  </si>
  <si>
    <t xml:space="preserve">D-16</t>
  </si>
  <si>
    <t xml:space="preserve">IA-04 fuera del plan base, condicionada a herramienta ya licenciada y horas de expertos libres</t>
  </si>
  <si>
    <t xml:space="preserve">B: dentro del plan; C: posponer del todo</t>
  </si>
  <si>
    <t xml:space="preserve">D-17</t>
  </si>
  <si>
    <t xml:space="preserve">Orden de recorte si el esfuerzo va al máximo: (1) achicar tabla validada, (2) aplazar PBI-18, (3) escalar horas a Datos. Ingeniería: IA-05 con 3 sesiones; Expertos: retros quincenales</t>
  </si>
  <si>
    <t xml:space="preserve">A, B o C por separado</t>
  </si>
  <si>
    <t xml:space="preserve">D-18</t>
  </si>
  <si>
    <t xml:space="preserve">Prototipo sobre la base técnica de reto-01-guarin, en repo nuevo copiloto-brio</t>
  </si>
  <si>
    <t xml:space="preserve">Bot de Teams; código pasado por partes</t>
  </si>
  <si>
    <t xml:space="preserve">D-19</t>
  </si>
  <si>
    <t xml:space="preserve">Canal del demo: web + Telegram con lista blanca y datos sintéticos; producción en Teams</t>
  </si>
  <si>
    <t xml:space="preserve">Solo web; Teams en tenant propio</t>
  </si>
  <si>
    <t xml:space="preserve">D-20</t>
  </si>
  <si>
    <t xml:space="preserve">Alcance V1: ventas + 2-3 estudios internos con cita textual</t>
  </si>
  <si>
    <t xml:space="preserve">Solo ventas; ventas + todos los estudios</t>
  </si>
  <si>
    <t xml:space="preserve">D-21</t>
  </si>
  <si>
    <t xml:space="preserve">Ruta de implementación: componer (canal, modelo y datos existentes; construir solo herramientas y verificador). Respaldo: ruta sin IA si el control mejora igual</t>
  </si>
  <si>
    <t xml:space="preserve">A: construir todo; B: comprar; D: sin IA</t>
  </si>
  <si>
    <t xml:space="preserve">D-22</t>
  </si>
  <si>
    <t xml:space="preserve">Fondo externo: pedir aprobación con usos en orden (horas externas de datos, informes automáticos, respaldo del modelo) e iniciar sin gasto la evaluación de compra de soporte y contratos</t>
  </si>
  <si>
    <t xml:space="preserve">A: asegurar solo el piloto; B: comprar bot de soporte</t>
  </si>
  <si>
    <t xml:space="preserve">D-23</t>
  </si>
  <si>
    <t xml:space="preserve">Fondo: opción C, pedir COP 18,6 M (base única, informes, auditoría de datos de pronóstico y quiebres, respaldo del modelo); no pedir el resto</t>
  </si>
  <si>
    <t xml:space="preserve">A: solo piloto (4,8 M); B: piloto + informes (13,8 M)</t>
  </si>
  <si>
    <t xml:space="preserve">D-24</t>
  </si>
  <si>
    <t xml:space="preserve">Mapa de recursos: 100 % de datos, seguridad y expertos asignados; 50 h de ingeniería como reserva para Dirección (incluye 8 h de la prueba creativa si se activa); nuevos PBI-25 a PBI-28</t>
  </si>
  <si>
    <t xml:space="preserve">Dejar holguras sin destino</t>
  </si>
  <si>
    <t xml:space="preserve">D-25</t>
  </si>
  <si>
    <t xml:space="preserve">Presentación: fusionar producto y prueba; nueva diapositiva de uso de recursos</t>
  </si>
  <si>
    <t xml:space="preserve">Fusionar contexto y hallazgos; meterlo en el plan</t>
  </si>
  <si>
    <t xml:space="preserve">D-26</t>
  </si>
  <si>
    <t xml:space="preserve">Aprovechar Copilot Chat de Microsoft 365: validar decisiones sin construir (−8 h de ingeniería, a la reserva), prueba creativa con Copilot, guía de uso de IA generativa en el mes 4. Herramientas gratuitas de internet solo con información pública o sintética</t>
  </si>
  <si>
    <t xml:space="preserve">A: no cambiar; C: guía en el trimestre quitando horas a Seguridad</t>
  </si>
  <si>
    <t xml:space="preserve">D-12</t>
  </si>
  <si>
    <t xml:space="preserve">Gobierno de cambios: entra algo, sale algo; reserva de 40 h; sin ficha no entra; revisión quincenal con el CEO; máximo 1 construcción y 2 validaciones a la vez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</si>
</sst>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.0\x"/>
    <numFmt numFmtId="168" formatCode="0.0"/>
    <numFmt numFmtId="169" formatCode="#,##0;\(#,##0\);\-"/>
    <numFmt numFmtId="170" formatCode="General"/>
    <numFmt numFmtId="171" formatCode="0%"/>
    <numFmt numFmtId="172" formatCode="0.00"/>
    <numFmt numFmtId="173" formatCode="#,##0;\(#,##0\);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6" t="s">
        <v>5</v>
      </c>
      <c r="B6" s="4" t="s">
        <v>6</v>
      </c>
    </row>
    <row r="7" customFormat="false" ht="15" hidden="false" customHeight="false" outlineLevel="0" collapsed="false">
      <c r="A7" s="7" t="s">
        <v>7</v>
      </c>
      <c r="B7" s="4" t="s">
        <v>8</v>
      </c>
    </row>
    <row r="8" customFormat="false" ht="15" hidden="false" customHeight="false" outlineLevel="0" collapsed="false">
      <c r="A8" s="4" t="s">
        <v>9</v>
      </c>
      <c r="B8" s="4" t="s">
        <v>10</v>
      </c>
    </row>
    <row r="9" customFormat="false" ht="15" hidden="false" customHeight="false" outlineLevel="0" collapsed="false">
      <c r="A9" s="3"/>
      <c r="B9" s="4"/>
    </row>
    <row r="10" customFormat="false" ht="15" hidden="false" customHeight="false" outlineLevel="0" collapsed="false">
      <c r="A10" s="3" t="s">
        <v>11</v>
      </c>
      <c r="B10" s="4"/>
    </row>
    <row r="11" customFormat="false" ht="15" hidden="false" customHeight="false" outlineLevel="0" collapsed="false">
      <c r="A11" s="4" t="s">
        <v>12</v>
      </c>
      <c r="B11" s="4" t="s">
        <v>13</v>
      </c>
    </row>
    <row r="12" customFormat="false" ht="15" hidden="false" customHeight="false" outlineLevel="0" collapsed="false">
      <c r="A12" s="4" t="s">
        <v>14</v>
      </c>
      <c r="B12" s="4" t="s">
        <v>15</v>
      </c>
    </row>
    <row r="13" customFormat="false" ht="15" hidden="false" customHeight="false" outlineLevel="0" collapsed="false">
      <c r="A13" s="4" t="s">
        <v>16</v>
      </c>
      <c r="B13" s="4" t="s">
        <v>17</v>
      </c>
    </row>
    <row r="14" customFormat="false" ht="15" hidden="false" customHeight="false" outlineLevel="0" collapsed="false">
      <c r="A14" s="4" t="s">
        <v>18</v>
      </c>
      <c r="B14" s="4" t="s">
        <v>19</v>
      </c>
    </row>
    <row r="15" customFormat="false" ht="15" hidden="false" customHeight="false" outlineLevel="0" collapsed="false">
      <c r="A15" s="4" t="s">
        <v>20</v>
      </c>
      <c r="B15" s="4" t="s">
        <v>21</v>
      </c>
    </row>
    <row r="16" customFormat="false" ht="15" hidden="false" customHeight="false" outlineLevel="0" collapsed="false">
      <c r="A16" s="4" t="s">
        <v>22</v>
      </c>
      <c r="B16" s="4" t="s">
        <v>23</v>
      </c>
    </row>
    <row r="17" customFormat="false" ht="15" hidden="false" customHeight="false" outlineLevel="0" collapsed="false">
      <c r="A17" s="4" t="s">
        <v>24</v>
      </c>
      <c r="B17" s="4" t="s">
        <v>25</v>
      </c>
    </row>
    <row r="18" customFormat="false" ht="15" hidden="false" customHeight="false" outlineLevel="0" collapsed="false">
      <c r="A18" s="4" t="s">
        <v>26</v>
      </c>
      <c r="B18" s="4" t="s">
        <v>27</v>
      </c>
    </row>
    <row r="19" customFormat="false" ht="15" hidden="false" customHeight="false" outlineLevel="0" collapsed="false">
      <c r="A19" s="4" t="s">
        <v>28</v>
      </c>
      <c r="B19" s="4" t="s">
        <v>29</v>
      </c>
    </row>
    <row r="20" customFormat="false" ht="15" hidden="false" customHeight="false" outlineLevel="0" collapsed="false">
      <c r="A20" s="4" t="s">
        <v>30</v>
      </c>
      <c r="B20" s="4" t="s">
        <v>31</v>
      </c>
    </row>
    <row r="21" customFormat="false" ht="15" hidden="false" customHeight="false" outlineLevel="0" collapsed="false">
      <c r="A21" s="4" t="s">
        <v>32</v>
      </c>
      <c r="B21" s="4" t="s">
        <v>33</v>
      </c>
    </row>
    <row r="22" customFormat="false" ht="15" hidden="false" customHeight="false" outlineLevel="0" collapsed="false">
      <c r="A22" s="4" t="s">
        <v>34</v>
      </c>
      <c r="B22" s="4" t="s">
        <v>35</v>
      </c>
    </row>
    <row r="23" customFormat="false" ht="15" hidden="false" customHeight="false" outlineLevel="0" collapsed="false">
      <c r="A23" s="3"/>
      <c r="B23" s="4"/>
    </row>
    <row r="24" customFormat="false" ht="15" hidden="false" customHeight="false" outlineLevel="0" collapsed="false">
      <c r="A24" s="3" t="s">
        <v>36</v>
      </c>
      <c r="B24" s="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15" hidden="false" customHeight="false" outlineLevel="0" collapsed="false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  <c r="G4" s="8" t="s">
        <v>46</v>
      </c>
    </row>
    <row r="5" customFormat="false" ht="15" hidden="false" customHeight="false" outlineLevel="0" collapsed="false">
      <c r="A5" s="9" t="s">
        <v>47</v>
      </c>
      <c r="B5" s="9" t="s">
        <v>48</v>
      </c>
      <c r="C5" s="10" t="n">
        <v>12</v>
      </c>
      <c r="D5" s="9" t="s">
        <v>49</v>
      </c>
      <c r="E5" s="9" t="s">
        <v>50</v>
      </c>
      <c r="F5" s="9" t="s">
        <v>51</v>
      </c>
      <c r="G5" s="9" t="s">
        <v>52</v>
      </c>
    </row>
    <row r="6" customFormat="false" ht="15" hidden="false" customHeight="false" outlineLevel="0" collapsed="false">
      <c r="A6" s="9" t="s">
        <v>53</v>
      </c>
      <c r="B6" s="9" t="s">
        <v>54</v>
      </c>
      <c r="C6" s="10" t="n">
        <v>8</v>
      </c>
      <c r="D6" s="9" t="s">
        <v>49</v>
      </c>
      <c r="E6" s="9" t="s">
        <v>50</v>
      </c>
      <c r="F6" s="9" t="s">
        <v>55</v>
      </c>
      <c r="G6" s="9" t="s">
        <v>56</v>
      </c>
    </row>
    <row r="7" customFormat="false" ht="15" hidden="false" customHeight="false" outlineLevel="0" collapsed="false">
      <c r="A7" s="9" t="s">
        <v>57</v>
      </c>
      <c r="B7" s="9" t="s">
        <v>58</v>
      </c>
      <c r="C7" s="10" t="n">
        <v>9</v>
      </c>
      <c r="D7" s="9" t="s">
        <v>59</v>
      </c>
      <c r="E7" s="9" t="s">
        <v>50</v>
      </c>
      <c r="F7" s="9" t="s">
        <v>60</v>
      </c>
      <c r="G7" s="9" t="s">
        <v>61</v>
      </c>
    </row>
    <row r="8" customFormat="false" ht="15" hidden="false" customHeight="false" outlineLevel="0" collapsed="false">
      <c r="A8" s="9" t="s">
        <v>62</v>
      </c>
      <c r="B8" s="9" t="s">
        <v>63</v>
      </c>
      <c r="C8" s="10" t="n">
        <v>46</v>
      </c>
      <c r="D8" s="9" t="s">
        <v>64</v>
      </c>
      <c r="E8" s="9" t="s">
        <v>50</v>
      </c>
      <c r="F8" s="9" t="s">
        <v>65</v>
      </c>
      <c r="G8" s="9" t="s">
        <v>66</v>
      </c>
    </row>
    <row r="9" customFormat="false" ht="15" hidden="false" customHeight="false" outlineLevel="0" collapsed="false">
      <c r="A9" s="9" t="s">
        <v>67</v>
      </c>
      <c r="B9" s="9" t="s">
        <v>68</v>
      </c>
      <c r="C9" s="11" t="n">
        <v>68000</v>
      </c>
      <c r="D9" s="9" t="s">
        <v>69</v>
      </c>
      <c r="E9" s="9" t="s">
        <v>50</v>
      </c>
      <c r="F9" s="9" t="s">
        <v>70</v>
      </c>
      <c r="G9" s="9" t="s">
        <v>71</v>
      </c>
    </row>
    <row r="10" customFormat="false" ht="15" hidden="false" customHeight="false" outlineLevel="0" collapsed="false">
      <c r="A10" s="9" t="s">
        <v>72</v>
      </c>
      <c r="B10" s="9" t="s">
        <v>73</v>
      </c>
      <c r="C10" s="10" t="n">
        <v>74</v>
      </c>
      <c r="D10" s="9" t="s">
        <v>74</v>
      </c>
      <c r="E10" s="9" t="s">
        <v>50</v>
      </c>
      <c r="F10" s="9" t="s">
        <v>51</v>
      </c>
      <c r="G10" s="9" t="s">
        <v>75</v>
      </c>
    </row>
    <row r="11" customFormat="false" ht="15" hidden="false" customHeight="false" outlineLevel="0" collapsed="false">
      <c r="A11" s="9" t="s">
        <v>76</v>
      </c>
      <c r="B11" s="9" t="s">
        <v>77</v>
      </c>
      <c r="C11" s="12" t="n">
        <v>0.18</v>
      </c>
      <c r="D11" s="9" t="s">
        <v>78</v>
      </c>
      <c r="E11" s="9" t="s">
        <v>50</v>
      </c>
      <c r="F11" s="9" t="s">
        <v>51</v>
      </c>
      <c r="G11" s="9"/>
    </row>
    <row r="12" customFormat="false" ht="15" hidden="false" customHeight="false" outlineLevel="0" collapsed="false">
      <c r="A12" s="9" t="s">
        <v>79</v>
      </c>
      <c r="B12" s="9" t="s">
        <v>80</v>
      </c>
      <c r="C12" s="10" t="n">
        <v>2.2</v>
      </c>
      <c r="D12" s="9" t="s">
        <v>81</v>
      </c>
      <c r="E12" s="9" t="s">
        <v>50</v>
      </c>
      <c r="F12" s="9" t="s">
        <v>65</v>
      </c>
      <c r="G12" s="9" t="s">
        <v>82</v>
      </c>
    </row>
    <row r="13" customFormat="false" ht="15" hidden="false" customHeight="false" outlineLevel="0" collapsed="false">
      <c r="A13" s="9" t="s">
        <v>83</v>
      </c>
      <c r="B13" s="9" t="s">
        <v>84</v>
      </c>
      <c r="C13" s="10" t="n">
        <v>26</v>
      </c>
      <c r="D13" s="9" t="s">
        <v>85</v>
      </c>
      <c r="E13" s="9" t="s">
        <v>50</v>
      </c>
      <c r="F13" s="9" t="s">
        <v>65</v>
      </c>
      <c r="G13" s="9" t="s">
        <v>86</v>
      </c>
    </row>
    <row r="14" customFormat="false" ht="15" hidden="false" customHeight="false" outlineLevel="0" collapsed="false">
      <c r="A14" s="9" t="s">
        <v>87</v>
      </c>
      <c r="B14" s="9" t="s">
        <v>88</v>
      </c>
      <c r="C14" s="10" t="n">
        <v>20</v>
      </c>
      <c r="D14" s="9" t="s">
        <v>89</v>
      </c>
      <c r="E14" s="9" t="s">
        <v>50</v>
      </c>
      <c r="F14" s="9" t="s">
        <v>51</v>
      </c>
      <c r="G14" s="9" t="s">
        <v>90</v>
      </c>
    </row>
    <row r="15" customFormat="false" ht="15" hidden="false" customHeight="false" outlineLevel="0" collapsed="false">
      <c r="A15" s="9" t="s">
        <v>91</v>
      </c>
      <c r="B15" s="9" t="s">
        <v>92</v>
      </c>
      <c r="C15" s="10" t="n">
        <v>6</v>
      </c>
      <c r="D15" s="9" t="s">
        <v>89</v>
      </c>
      <c r="E15" s="9" t="s">
        <v>50</v>
      </c>
      <c r="F15" s="9" t="s">
        <v>65</v>
      </c>
      <c r="G15" s="9" t="s">
        <v>93</v>
      </c>
    </row>
    <row r="16" customFormat="false" ht="15" hidden="false" customHeight="false" outlineLevel="0" collapsed="false">
      <c r="A16" s="9" t="s">
        <v>94</v>
      </c>
      <c r="B16" s="9" t="s">
        <v>95</v>
      </c>
      <c r="C16" s="11" t="n">
        <v>36000000000</v>
      </c>
      <c r="D16" s="9" t="s">
        <v>96</v>
      </c>
      <c r="E16" s="9" t="s">
        <v>97</v>
      </c>
      <c r="F16" s="9" t="s">
        <v>51</v>
      </c>
      <c r="G16" s="9" t="s">
        <v>98</v>
      </c>
    </row>
    <row r="17" customFormat="false" ht="15" hidden="false" customHeight="false" outlineLevel="0" collapsed="false">
      <c r="A17" s="9" t="s">
        <v>99</v>
      </c>
      <c r="B17" s="9" t="s">
        <v>100</v>
      </c>
      <c r="C17" s="12" t="n">
        <v>0.26</v>
      </c>
      <c r="D17" s="9" t="s">
        <v>78</v>
      </c>
      <c r="E17" s="9" t="s">
        <v>97</v>
      </c>
      <c r="F17" s="9" t="s">
        <v>65</v>
      </c>
      <c r="G17" s="9" t="s">
        <v>101</v>
      </c>
    </row>
    <row r="18" customFormat="false" ht="15" hidden="false" customHeight="false" outlineLevel="0" collapsed="false">
      <c r="A18" s="9" t="s">
        <v>102</v>
      </c>
      <c r="B18" s="9" t="s">
        <v>103</v>
      </c>
      <c r="C18" s="10" t="n">
        <v>48</v>
      </c>
      <c r="D18" s="9" t="s">
        <v>104</v>
      </c>
      <c r="E18" s="9" t="s">
        <v>97</v>
      </c>
      <c r="F18" s="9" t="s">
        <v>51</v>
      </c>
      <c r="G18" s="9" t="s">
        <v>105</v>
      </c>
    </row>
    <row r="19" customFormat="false" ht="15" hidden="false" customHeight="false" outlineLevel="0" collapsed="false">
      <c r="A19" s="9" t="s">
        <v>106</v>
      </c>
      <c r="B19" s="9" t="s">
        <v>107</v>
      </c>
      <c r="C19" s="10" t="n">
        <v>8</v>
      </c>
      <c r="D19" s="9" t="s">
        <v>108</v>
      </c>
      <c r="E19" s="9" t="s">
        <v>97</v>
      </c>
      <c r="F19" s="9" t="s">
        <v>55</v>
      </c>
      <c r="G19" s="9" t="s">
        <v>109</v>
      </c>
    </row>
    <row r="20" customFormat="false" ht="15" hidden="false" customHeight="false" outlineLevel="0" collapsed="false">
      <c r="A20" s="9" t="s">
        <v>110</v>
      </c>
      <c r="B20" s="9" t="s">
        <v>111</v>
      </c>
      <c r="C20" s="10" t="n">
        <v>36</v>
      </c>
      <c r="D20" s="9" t="s">
        <v>112</v>
      </c>
      <c r="E20" s="9" t="s">
        <v>97</v>
      </c>
      <c r="F20" s="9" t="s">
        <v>51</v>
      </c>
      <c r="G20" s="9" t="s">
        <v>113</v>
      </c>
    </row>
    <row r="21" customFormat="false" ht="15" hidden="false" customHeight="false" outlineLevel="0" collapsed="false">
      <c r="A21" s="9" t="s">
        <v>114</v>
      </c>
      <c r="B21" s="9" t="s">
        <v>115</v>
      </c>
      <c r="C21" s="10" t="n">
        <v>18</v>
      </c>
      <c r="D21" s="9" t="s">
        <v>116</v>
      </c>
      <c r="E21" s="9" t="s">
        <v>97</v>
      </c>
      <c r="F21" s="9" t="s">
        <v>117</v>
      </c>
      <c r="G21" s="9" t="s">
        <v>118</v>
      </c>
    </row>
    <row r="22" customFormat="false" ht="15" hidden="false" customHeight="false" outlineLevel="0" collapsed="false">
      <c r="A22" s="9" t="s">
        <v>119</v>
      </c>
      <c r="B22" s="9" t="s">
        <v>120</v>
      </c>
      <c r="C22" s="12" t="n">
        <v>0.032</v>
      </c>
      <c r="D22" s="9" t="s">
        <v>78</v>
      </c>
      <c r="E22" s="9" t="s">
        <v>97</v>
      </c>
      <c r="F22" s="9" t="s">
        <v>121</v>
      </c>
      <c r="G22" s="9" t="s">
        <v>122</v>
      </c>
    </row>
    <row r="23" customFormat="false" ht="15" hidden="false" customHeight="false" outlineLevel="0" collapsed="false">
      <c r="A23" s="9" t="s">
        <v>123</v>
      </c>
      <c r="B23" s="9" t="s">
        <v>124</v>
      </c>
      <c r="C23" s="12" t="n">
        <v>0.26</v>
      </c>
      <c r="D23" s="9" t="s">
        <v>78</v>
      </c>
      <c r="E23" s="9" t="s">
        <v>97</v>
      </c>
      <c r="F23" s="9" t="s">
        <v>121</v>
      </c>
      <c r="G23" s="9" t="s">
        <v>125</v>
      </c>
    </row>
    <row r="24" customFormat="false" ht="15" hidden="false" customHeight="false" outlineLevel="0" collapsed="false">
      <c r="A24" s="9" t="s">
        <v>126</v>
      </c>
      <c r="B24" s="9" t="s">
        <v>127</v>
      </c>
      <c r="C24" s="11" t="n">
        <v>1100</v>
      </c>
      <c r="D24" s="9" t="s">
        <v>128</v>
      </c>
      <c r="E24" s="9" t="s">
        <v>97</v>
      </c>
      <c r="F24" s="9" t="s">
        <v>51</v>
      </c>
      <c r="G24" s="9" t="s">
        <v>129</v>
      </c>
    </row>
    <row r="25" customFormat="false" ht="15" hidden="false" customHeight="false" outlineLevel="0" collapsed="false">
      <c r="A25" s="9" t="s">
        <v>130</v>
      </c>
      <c r="B25" s="9" t="s">
        <v>131</v>
      </c>
      <c r="C25" s="12" t="n">
        <v>0.25</v>
      </c>
      <c r="D25" s="9" t="s">
        <v>78</v>
      </c>
      <c r="E25" s="9" t="s">
        <v>97</v>
      </c>
      <c r="F25" s="9" t="s">
        <v>65</v>
      </c>
      <c r="G25" s="9" t="s">
        <v>132</v>
      </c>
    </row>
    <row r="26" customFormat="false" ht="15" hidden="false" customHeight="false" outlineLevel="0" collapsed="false">
      <c r="A26" s="9" t="s">
        <v>133</v>
      </c>
      <c r="B26" s="9" t="s">
        <v>134</v>
      </c>
      <c r="C26" s="11" t="n">
        <v>7200000000</v>
      </c>
      <c r="D26" s="9" t="s">
        <v>135</v>
      </c>
      <c r="E26" s="9" t="s">
        <v>97</v>
      </c>
      <c r="F26" s="9" t="s">
        <v>51</v>
      </c>
      <c r="G26" s="9" t="s">
        <v>136</v>
      </c>
    </row>
    <row r="27" customFormat="false" ht="15" hidden="false" customHeight="false" outlineLevel="0" collapsed="false">
      <c r="A27" s="9" t="s">
        <v>137</v>
      </c>
      <c r="B27" s="9" t="s">
        <v>138</v>
      </c>
      <c r="C27" s="10" t="n">
        <v>240</v>
      </c>
      <c r="D27" s="9" t="s">
        <v>139</v>
      </c>
      <c r="E27" s="9" t="s">
        <v>140</v>
      </c>
      <c r="F27" s="9" t="s">
        <v>51</v>
      </c>
      <c r="G27" s="9" t="s">
        <v>141</v>
      </c>
    </row>
    <row r="28" customFormat="false" ht="15" hidden="false" customHeight="false" outlineLevel="0" collapsed="false">
      <c r="A28" s="9" t="s">
        <v>142</v>
      </c>
      <c r="B28" s="9" t="s">
        <v>143</v>
      </c>
      <c r="C28" s="10" t="n">
        <v>35</v>
      </c>
      <c r="D28" s="9" t="s">
        <v>139</v>
      </c>
      <c r="E28" s="9" t="s">
        <v>140</v>
      </c>
      <c r="F28" s="9" t="s">
        <v>51</v>
      </c>
      <c r="G28" s="9" t="s">
        <v>144</v>
      </c>
    </row>
    <row r="29" customFormat="false" ht="15" hidden="false" customHeight="false" outlineLevel="0" collapsed="false">
      <c r="A29" s="9" t="s">
        <v>145</v>
      </c>
      <c r="B29" s="9" t="s">
        <v>146</v>
      </c>
      <c r="C29" s="10" t="n">
        <v>12</v>
      </c>
      <c r="D29" s="9" t="s">
        <v>139</v>
      </c>
      <c r="E29" s="9" t="s">
        <v>140</v>
      </c>
      <c r="F29" s="9" t="s">
        <v>51</v>
      </c>
      <c r="G29" s="9"/>
    </row>
    <row r="30" customFormat="false" ht="15" hidden="false" customHeight="false" outlineLevel="0" collapsed="false">
      <c r="A30" s="9" t="s">
        <v>147</v>
      </c>
      <c r="B30" s="9" t="s">
        <v>148</v>
      </c>
      <c r="C30" s="10" t="n">
        <v>20</v>
      </c>
      <c r="D30" s="9" t="s">
        <v>139</v>
      </c>
      <c r="E30" s="9" t="s">
        <v>140</v>
      </c>
      <c r="F30" s="9" t="s">
        <v>65</v>
      </c>
      <c r="G30" s="9" t="s">
        <v>149</v>
      </c>
    </row>
    <row r="31" customFormat="false" ht="15" hidden="false" customHeight="false" outlineLevel="0" collapsed="false">
      <c r="A31" s="9" t="s">
        <v>150</v>
      </c>
      <c r="B31" s="9" t="s">
        <v>151</v>
      </c>
      <c r="C31" s="11" t="n">
        <v>105000</v>
      </c>
      <c r="D31" s="9" t="s">
        <v>69</v>
      </c>
      <c r="E31" s="9" t="s">
        <v>140</v>
      </c>
      <c r="F31" s="9" t="s">
        <v>152</v>
      </c>
      <c r="G31" s="9" t="s">
        <v>153</v>
      </c>
    </row>
    <row r="32" customFormat="false" ht="15" hidden="false" customHeight="false" outlineLevel="0" collapsed="false">
      <c r="A32" s="9" t="s">
        <v>154</v>
      </c>
      <c r="B32" s="9" t="s">
        <v>155</v>
      </c>
      <c r="C32" s="11" t="n">
        <v>85000</v>
      </c>
      <c r="D32" s="9" t="s">
        <v>69</v>
      </c>
      <c r="E32" s="9" t="s">
        <v>140</v>
      </c>
      <c r="F32" s="9" t="s">
        <v>152</v>
      </c>
      <c r="G32" s="9" t="s">
        <v>153</v>
      </c>
    </row>
    <row r="33" customFormat="false" ht="15" hidden="false" customHeight="false" outlineLevel="0" collapsed="false">
      <c r="A33" s="9" t="s">
        <v>156</v>
      </c>
      <c r="B33" s="9" t="s">
        <v>157</v>
      </c>
      <c r="C33" s="11" t="n">
        <v>120000</v>
      </c>
      <c r="D33" s="9" t="s">
        <v>69</v>
      </c>
      <c r="E33" s="9" t="s">
        <v>140</v>
      </c>
      <c r="F33" s="9" t="s">
        <v>152</v>
      </c>
      <c r="G33" s="9" t="s">
        <v>153</v>
      </c>
    </row>
    <row r="34" customFormat="false" ht="15" hidden="false" customHeight="false" outlineLevel="0" collapsed="false">
      <c r="A34" s="9" t="s">
        <v>158</v>
      </c>
      <c r="B34" s="9" t="s">
        <v>159</v>
      </c>
      <c r="C34" s="11" t="n">
        <v>30000000</v>
      </c>
      <c r="D34" s="9" t="s">
        <v>160</v>
      </c>
      <c r="E34" s="9" t="s">
        <v>140</v>
      </c>
      <c r="F34" s="9" t="s">
        <v>161</v>
      </c>
      <c r="G34" s="9" t="s">
        <v>162</v>
      </c>
    </row>
    <row r="35" customFormat="false" ht="15" hidden="false" customHeight="false" outlineLevel="0" collapsed="false">
      <c r="A35" s="9" t="s">
        <v>163</v>
      </c>
      <c r="B35" s="9" t="s">
        <v>164</v>
      </c>
      <c r="C35" s="10" t="n">
        <v>0</v>
      </c>
      <c r="D35" s="9" t="s">
        <v>165</v>
      </c>
      <c r="E35" s="9" t="s">
        <v>140</v>
      </c>
      <c r="F35" s="9" t="s">
        <v>51</v>
      </c>
      <c r="G35" s="9" t="s">
        <v>166</v>
      </c>
    </row>
    <row r="36" customFormat="false" ht="15" hidden="false" customHeight="false" outlineLevel="0" collapsed="false">
      <c r="A36" s="9" t="s">
        <v>167</v>
      </c>
      <c r="B36" s="9" t="s">
        <v>168</v>
      </c>
      <c r="C36" s="12" t="n">
        <v>0.02</v>
      </c>
      <c r="D36" s="9" t="s">
        <v>78</v>
      </c>
      <c r="E36" s="9" t="s">
        <v>169</v>
      </c>
      <c r="F36" s="9" t="s">
        <v>170</v>
      </c>
      <c r="G36" s="9" t="s">
        <v>171</v>
      </c>
    </row>
    <row r="37" customFormat="false" ht="28.35" hidden="false" customHeight="false" outlineLevel="0" collapsed="false">
      <c r="A37" s="9" t="s">
        <v>172</v>
      </c>
      <c r="B37" s="9" t="s">
        <v>173</v>
      </c>
      <c r="C37" s="12" t="n">
        <v>0.4</v>
      </c>
      <c r="D37" s="9" t="s">
        <v>78</v>
      </c>
      <c r="E37" s="9" t="s">
        <v>169</v>
      </c>
      <c r="F37" s="9" t="s">
        <v>170</v>
      </c>
      <c r="G37" s="9" t="s">
        <v>174</v>
      </c>
    </row>
    <row r="38" customFormat="false" ht="15" hidden="false" customHeight="false" outlineLevel="0" collapsed="false">
      <c r="A38" s="9" t="s">
        <v>175</v>
      </c>
      <c r="B38" s="9" t="s">
        <v>176</v>
      </c>
      <c r="C38" s="10" t="n">
        <v>45</v>
      </c>
      <c r="D38" s="9" t="s">
        <v>177</v>
      </c>
      <c r="E38" s="9" t="s">
        <v>178</v>
      </c>
      <c r="F38" s="9" t="s">
        <v>179</v>
      </c>
      <c r="G38" s="9" t="s">
        <v>180</v>
      </c>
    </row>
    <row r="39" customFormat="false" ht="15" hidden="false" customHeight="false" outlineLevel="0" collapsed="false">
      <c r="A39" s="9" t="s">
        <v>181</v>
      </c>
      <c r="B39" s="9" t="s">
        <v>182</v>
      </c>
      <c r="C39" s="10" t="n">
        <v>90</v>
      </c>
      <c r="D39" s="9" t="s">
        <v>177</v>
      </c>
      <c r="E39" s="9" t="s">
        <v>183</v>
      </c>
      <c r="F39" s="9" t="s">
        <v>51</v>
      </c>
      <c r="G39" s="9"/>
    </row>
    <row r="40" customFormat="false" ht="41.75" hidden="false" customHeight="false" outlineLevel="0" collapsed="false">
      <c r="A40" s="9" t="s">
        <v>184</v>
      </c>
      <c r="B40" s="9" t="s">
        <v>185</v>
      </c>
      <c r="C40" s="11" t="n">
        <v>4327</v>
      </c>
      <c r="D40" s="9" t="s">
        <v>186</v>
      </c>
      <c r="E40" s="9" t="s">
        <v>187</v>
      </c>
      <c r="F40" s="9" t="s">
        <v>55</v>
      </c>
      <c r="G40" s="9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55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189</v>
      </c>
    </row>
    <row r="2" customFormat="false" ht="15" hidden="false" customHeight="false" outlineLevel="0" collapsed="false">
      <c r="A2" s="2" t="s">
        <v>190</v>
      </c>
    </row>
    <row r="4" customFormat="false" ht="15" hidden="false" customHeight="false" outlineLevel="0" collapsed="false">
      <c r="A4" s="8" t="s">
        <v>40</v>
      </c>
      <c r="B4" s="8" t="s">
        <v>191</v>
      </c>
      <c r="C4" s="8" t="s">
        <v>42</v>
      </c>
      <c r="D4" s="8" t="s">
        <v>43</v>
      </c>
      <c r="E4" s="8" t="s">
        <v>192</v>
      </c>
      <c r="F4" s="8" t="s">
        <v>45</v>
      </c>
    </row>
    <row r="5" customFormat="false" ht="15" hidden="false" customHeight="false" outlineLevel="0" collapsed="false">
      <c r="A5" s="9" t="s">
        <v>193</v>
      </c>
      <c r="B5" s="9" t="s">
        <v>194</v>
      </c>
      <c r="C5" s="13" t="n">
        <f aca="false">Datos!$C$6*Datos!$C$7*Datos!$C$8</f>
        <v>3312</v>
      </c>
      <c r="D5" s="9" t="s">
        <v>195</v>
      </c>
      <c r="E5" s="9" t="s">
        <v>196</v>
      </c>
      <c r="F5" s="9" t="s">
        <v>197</v>
      </c>
    </row>
    <row r="6" customFormat="false" ht="28.35" hidden="false" customHeight="false" outlineLevel="0" collapsed="false">
      <c r="A6" s="9" t="s">
        <v>198</v>
      </c>
      <c r="B6" s="9" t="s">
        <v>199</v>
      </c>
      <c r="C6" s="13" t="n">
        <f aca="false">Datos!$C$5*Datos!$C$7*Datos!$C$8</f>
        <v>4968</v>
      </c>
      <c r="D6" s="9" t="s">
        <v>195</v>
      </c>
      <c r="E6" s="9" t="s">
        <v>200</v>
      </c>
      <c r="F6" s="9" t="s">
        <v>201</v>
      </c>
    </row>
    <row r="7" customFormat="false" ht="15" hidden="false" customHeight="false" outlineLevel="0" collapsed="false">
      <c r="A7" s="9" t="s">
        <v>202</v>
      </c>
      <c r="B7" s="9" t="s">
        <v>203</v>
      </c>
      <c r="C7" s="13" t="n">
        <f aca="false">Datos!$C$10*Datos!$C$11*Datos!$C$12</f>
        <v>29.304</v>
      </c>
      <c r="D7" s="9" t="s">
        <v>85</v>
      </c>
      <c r="E7" s="9" t="s">
        <v>204</v>
      </c>
      <c r="F7" s="9" t="s">
        <v>205</v>
      </c>
    </row>
    <row r="8" customFormat="false" ht="15" hidden="false" customHeight="false" outlineLevel="0" collapsed="false">
      <c r="A8" s="9" t="s">
        <v>206</v>
      </c>
      <c r="B8" s="9" t="s">
        <v>207</v>
      </c>
      <c r="C8" s="14" t="n">
        <f aca="false">Datos!$C$15/Datos!$C$14</f>
        <v>0.3</v>
      </c>
      <c r="D8" s="9" t="s">
        <v>78</v>
      </c>
      <c r="E8" s="9" t="s">
        <v>208</v>
      </c>
      <c r="F8" s="9" t="s">
        <v>65</v>
      </c>
    </row>
    <row r="9" customFormat="false" ht="15" hidden="false" customHeight="false" outlineLevel="0" collapsed="false">
      <c r="A9" s="9" t="s">
        <v>209</v>
      </c>
      <c r="B9" s="9" t="s">
        <v>210</v>
      </c>
      <c r="C9" s="15" t="n">
        <f aca="false">Portafolio!$E$21/Datos!$C$27</f>
        <v>5.0625</v>
      </c>
      <c r="D9" s="9" t="s">
        <v>211</v>
      </c>
      <c r="E9" s="9" t="s">
        <v>212</v>
      </c>
      <c r="F9" s="9" t="s">
        <v>213</v>
      </c>
    </row>
    <row r="10" customFormat="false" ht="28.35" hidden="false" customHeight="false" outlineLevel="0" collapsed="false">
      <c r="A10" s="9" t="s">
        <v>214</v>
      </c>
      <c r="B10" s="9" t="s">
        <v>215</v>
      </c>
      <c r="C10" s="13" t="n">
        <f aca="false">Datos!$C$27*Datos!$C$31+Datos!$C$28*Datos!$C$32+Datos!$C$29*Datos!$C$33</f>
        <v>29615000</v>
      </c>
      <c r="D10" s="9" t="s">
        <v>216</v>
      </c>
      <c r="E10" s="9" t="s">
        <v>217</v>
      </c>
      <c r="F10" s="9" t="s">
        <v>152</v>
      </c>
    </row>
    <row r="11" customFormat="false" ht="15" hidden="false" customHeight="false" outlineLevel="0" collapsed="false">
      <c r="A11" s="9" t="s">
        <v>218</v>
      </c>
      <c r="B11" s="9" t="s">
        <v>219</v>
      </c>
      <c r="C11" s="16" t="n">
        <v>0.1</v>
      </c>
      <c r="D11" s="9" t="s">
        <v>78</v>
      </c>
      <c r="E11" s="9" t="s">
        <v>220</v>
      </c>
      <c r="F11" s="9" t="s">
        <v>170</v>
      </c>
    </row>
    <row r="12" customFormat="false" ht="15" hidden="false" customHeight="false" outlineLevel="0" collapsed="false">
      <c r="A12" s="9" t="s">
        <v>221</v>
      </c>
      <c r="B12" s="9" t="s">
        <v>222</v>
      </c>
      <c r="C12" s="16" t="n">
        <v>0.2</v>
      </c>
      <c r="D12" s="9" t="s">
        <v>78</v>
      </c>
      <c r="E12" s="9" t="s">
        <v>223</v>
      </c>
      <c r="F12" s="9" t="s">
        <v>170</v>
      </c>
    </row>
    <row r="13" customFormat="false" ht="15" hidden="false" customHeight="false" outlineLevel="0" collapsed="false">
      <c r="A13" s="9" t="s">
        <v>224</v>
      </c>
      <c r="B13" s="9" t="s">
        <v>225</v>
      </c>
      <c r="C13" s="14" t="n">
        <f aca="false">C7*12/C5</f>
        <v>0.106173913043478</v>
      </c>
      <c r="D13" s="9" t="s">
        <v>78</v>
      </c>
      <c r="E13" s="9" t="s">
        <v>226</v>
      </c>
      <c r="F13" s="9" t="s">
        <v>205</v>
      </c>
    </row>
    <row r="14" customFormat="false" ht="15" hidden="false" customHeight="false" outlineLevel="0" collapsed="false">
      <c r="A14" s="9" t="s">
        <v>227</v>
      </c>
      <c r="B14" s="9" t="s">
        <v>228</v>
      </c>
      <c r="C14" s="17" t="n">
        <f aca="false">Datos!$C$21*Datos!$C$38/Datos!$C$39</f>
        <v>9</v>
      </c>
      <c r="D14" s="9" t="s">
        <v>229</v>
      </c>
      <c r="E14" s="9" t="s">
        <v>230</v>
      </c>
      <c r="F14" s="9" t="s">
        <v>231</v>
      </c>
    </row>
    <row r="15" customFormat="false" ht="28.35" hidden="false" customHeight="false" outlineLevel="0" collapsed="false">
      <c r="A15" s="9" t="s">
        <v>232</v>
      </c>
      <c r="B15" s="9" t="s">
        <v>233</v>
      </c>
      <c r="C15" s="14" t="n">
        <v>0.15</v>
      </c>
      <c r="D15" s="9" t="s">
        <v>78</v>
      </c>
      <c r="E15" s="9" t="s">
        <v>234</v>
      </c>
      <c r="F15" s="9" t="s">
        <v>235</v>
      </c>
    </row>
    <row r="16" customFormat="false" ht="28.35" hidden="false" customHeight="false" outlineLevel="0" collapsed="false">
      <c r="A16" s="9" t="s">
        <v>236</v>
      </c>
      <c r="B16" s="9" t="s">
        <v>237</v>
      </c>
      <c r="C16" s="16" t="n">
        <v>0</v>
      </c>
      <c r="D16" s="9" t="s">
        <v>78</v>
      </c>
      <c r="E16" s="9" t="s">
        <v>238</v>
      </c>
      <c r="F16" s="9" t="s">
        <v>239</v>
      </c>
    </row>
    <row r="17" customFormat="false" ht="28.35" hidden="false" customHeight="false" outlineLevel="0" collapsed="false">
      <c r="A17" s="9" t="s">
        <v>240</v>
      </c>
      <c r="B17" s="9" t="s">
        <v>241</v>
      </c>
      <c r="C17" s="18" t="n">
        <v>0</v>
      </c>
      <c r="D17" s="9" t="s">
        <v>242</v>
      </c>
      <c r="E17" s="9" t="s">
        <v>243</v>
      </c>
      <c r="F17" s="9" t="s">
        <v>244</v>
      </c>
    </row>
    <row r="18" customFormat="false" ht="15" hidden="false" customHeight="false" outlineLevel="0" collapsed="false">
      <c r="A18" s="9" t="s">
        <v>245</v>
      </c>
      <c r="B18" s="9" t="s">
        <v>246</v>
      </c>
      <c r="C18" s="18" t="n">
        <v>40</v>
      </c>
      <c r="D18" s="9" t="s">
        <v>247</v>
      </c>
      <c r="E18" s="9" t="s">
        <v>223</v>
      </c>
      <c r="F18" s="9" t="s">
        <v>65</v>
      </c>
    </row>
    <row r="19" customFormat="false" ht="15" hidden="false" customHeight="false" outlineLevel="0" collapsed="false">
      <c r="A19" s="9" t="s">
        <v>248</v>
      </c>
      <c r="B19" s="9" t="s">
        <v>249</v>
      </c>
      <c r="C19" s="15" t="n">
        <f aca="false">Portafolio!$F$21/Datos!$C$27</f>
        <v>9.10416666666667</v>
      </c>
      <c r="D19" s="9" t="s">
        <v>211</v>
      </c>
      <c r="E19" s="9" t="s">
        <v>250</v>
      </c>
      <c r="F19" s="9" t="s">
        <v>213</v>
      </c>
    </row>
    <row r="20" customFormat="false" ht="15" hidden="false" customHeight="false" outlineLevel="0" collapsed="false">
      <c r="A20" s="9" t="s">
        <v>251</v>
      </c>
      <c r="B20" s="9" t="s">
        <v>252</v>
      </c>
      <c r="C20" s="14" t="n">
        <f aca="false">C12</f>
        <v>0.2</v>
      </c>
      <c r="D20" s="9" t="s">
        <v>78</v>
      </c>
      <c r="E20" s="9" t="s">
        <v>253</v>
      </c>
      <c r="F20" s="9" t="s">
        <v>170</v>
      </c>
    </row>
    <row r="21" customFormat="false" ht="15" hidden="false" customHeight="false" outlineLevel="0" collapsed="false">
      <c r="A21" s="9" t="s">
        <v>254</v>
      </c>
      <c r="B21" s="9" t="s">
        <v>255</v>
      </c>
      <c r="C21" s="14" t="n">
        <f aca="false">C11</f>
        <v>0.1</v>
      </c>
      <c r="D21" s="9" t="s">
        <v>78</v>
      </c>
      <c r="E21" s="9" t="s">
        <v>256</v>
      </c>
      <c r="F21" s="9" t="s">
        <v>170</v>
      </c>
    </row>
    <row r="22" customFormat="false" ht="15" hidden="false" customHeight="false" outlineLevel="0" collapsed="false">
      <c r="A22" s="9" t="s">
        <v>257</v>
      </c>
      <c r="B22" s="9" t="s">
        <v>258</v>
      </c>
      <c r="C22" s="16" t="n">
        <v>0.6</v>
      </c>
      <c r="D22" s="9" t="s">
        <v>78</v>
      </c>
      <c r="E22" s="9" t="s">
        <v>259</v>
      </c>
      <c r="F22" s="9" t="s">
        <v>170</v>
      </c>
    </row>
    <row r="23" customFormat="false" ht="15" hidden="false" customHeight="false" outlineLevel="0" collapsed="false">
      <c r="A23" s="9" t="s">
        <v>260</v>
      </c>
      <c r="B23" s="9" t="s">
        <v>261</v>
      </c>
      <c r="C23" s="16" t="n">
        <v>0.4</v>
      </c>
      <c r="D23" s="9" t="s">
        <v>78</v>
      </c>
      <c r="E23" s="9" t="s">
        <v>223</v>
      </c>
      <c r="F23" s="9" t="s">
        <v>170</v>
      </c>
    </row>
    <row r="24" customFormat="false" ht="15" hidden="false" customHeight="false" outlineLevel="0" collapsed="false">
      <c r="A24" s="9" t="s">
        <v>262</v>
      </c>
      <c r="B24" s="9" t="s">
        <v>263</v>
      </c>
      <c r="C24" s="14" t="n">
        <f aca="false">Datos!$C$11/2</f>
        <v>0.09</v>
      </c>
      <c r="D24" s="9" t="s">
        <v>78</v>
      </c>
      <c r="E24" s="9" t="s">
        <v>264</v>
      </c>
      <c r="F24" s="9" t="s">
        <v>170</v>
      </c>
    </row>
    <row r="25" customFormat="false" ht="15" hidden="false" customHeight="false" outlineLevel="0" collapsed="false">
      <c r="A25" s="9" t="s">
        <v>265</v>
      </c>
      <c r="B25" s="9" t="s">
        <v>266</v>
      </c>
      <c r="C25" s="18" t="n">
        <v>4</v>
      </c>
      <c r="D25" s="9" t="s">
        <v>267</v>
      </c>
      <c r="E25" s="9" t="s">
        <v>268</v>
      </c>
      <c r="F25" s="9" t="s">
        <v>65</v>
      </c>
    </row>
    <row r="26" customFormat="false" ht="15" hidden="false" customHeight="false" outlineLevel="0" collapsed="false">
      <c r="A26" s="9" t="s">
        <v>269</v>
      </c>
      <c r="B26" s="9" t="s">
        <v>270</v>
      </c>
      <c r="C26" s="18" t="n">
        <v>4</v>
      </c>
      <c r="D26" s="9" t="s">
        <v>49</v>
      </c>
      <c r="E26" s="9" t="s">
        <v>271</v>
      </c>
      <c r="F26" s="9" t="s">
        <v>65</v>
      </c>
    </row>
    <row r="27" customFormat="false" ht="28.35" hidden="false" customHeight="false" outlineLevel="0" collapsed="false">
      <c r="A27" s="9" t="s">
        <v>272</v>
      </c>
      <c r="B27" s="9" t="s">
        <v>273</v>
      </c>
      <c r="C27" s="19" t="s">
        <v>274</v>
      </c>
      <c r="D27" s="9" t="s">
        <v>275</v>
      </c>
      <c r="E27" s="9" t="s">
        <v>276</v>
      </c>
      <c r="F27" s="9" t="s">
        <v>274</v>
      </c>
    </row>
    <row r="28" customFormat="false" ht="41.75" hidden="false" customHeight="false" outlineLevel="0" collapsed="false">
      <c r="A28" s="9" t="s">
        <v>277</v>
      </c>
      <c r="B28" s="9" t="s">
        <v>278</v>
      </c>
      <c r="C28" s="19" t="s">
        <v>274</v>
      </c>
      <c r="D28" s="9" t="s">
        <v>275</v>
      </c>
      <c r="E28" s="9" t="s">
        <v>279</v>
      </c>
      <c r="F28" s="9" t="s">
        <v>274</v>
      </c>
    </row>
    <row r="29" customFormat="false" ht="15" hidden="false" customHeight="false" outlineLevel="0" collapsed="false">
      <c r="A29" s="9" t="s">
        <v>280</v>
      </c>
      <c r="B29" s="9" t="s">
        <v>281</v>
      </c>
      <c r="C29" s="19" t="s">
        <v>282</v>
      </c>
      <c r="D29" s="9" t="s">
        <v>275</v>
      </c>
      <c r="E29" s="9" t="s">
        <v>283</v>
      </c>
      <c r="F29" s="9" t="s">
        <v>282</v>
      </c>
    </row>
    <row r="30" customFormat="false" ht="28.35" hidden="false" customHeight="false" outlineLevel="0" collapsed="false">
      <c r="A30" s="9" t="s">
        <v>284</v>
      </c>
      <c r="B30" s="9" t="s">
        <v>285</v>
      </c>
      <c r="C30" s="19" t="s">
        <v>274</v>
      </c>
      <c r="D30" s="9" t="s">
        <v>275</v>
      </c>
      <c r="E30" s="9" t="s">
        <v>286</v>
      </c>
      <c r="F30" s="9" t="s">
        <v>274</v>
      </c>
    </row>
    <row r="31" customFormat="false" ht="15" hidden="false" customHeight="false" outlineLevel="0" collapsed="false">
      <c r="A31" s="9" t="s">
        <v>287</v>
      </c>
      <c r="B31" s="9" t="s">
        <v>288</v>
      </c>
      <c r="C31" s="18" t="n">
        <v>10</v>
      </c>
      <c r="D31" s="9" t="s">
        <v>289</v>
      </c>
      <c r="E31" s="9" t="s">
        <v>223</v>
      </c>
      <c r="F31" s="9" t="s">
        <v>65</v>
      </c>
    </row>
    <row r="32" customFormat="false" ht="15" hidden="false" customHeight="false" outlineLevel="0" collapsed="false">
      <c r="A32" s="9" t="s">
        <v>290</v>
      </c>
      <c r="B32" s="9" t="s">
        <v>291</v>
      </c>
      <c r="C32" s="18" t="n">
        <v>20</v>
      </c>
      <c r="D32" s="9" t="s">
        <v>177</v>
      </c>
      <c r="E32" s="9" t="s">
        <v>223</v>
      </c>
      <c r="F32" s="9" t="s">
        <v>65</v>
      </c>
    </row>
    <row r="33" customFormat="false" ht="28.35" hidden="false" customHeight="false" outlineLevel="0" collapsed="false">
      <c r="A33" s="9" t="s">
        <v>292</v>
      </c>
      <c r="B33" s="9" t="s">
        <v>293</v>
      </c>
      <c r="C33" s="19" t="s">
        <v>274</v>
      </c>
      <c r="D33" s="9" t="s">
        <v>275</v>
      </c>
      <c r="E33" s="9" t="s">
        <v>294</v>
      </c>
      <c r="F33" s="9" t="s">
        <v>274</v>
      </c>
    </row>
    <row r="34" customFormat="false" ht="15" hidden="false" customHeight="false" outlineLevel="0" collapsed="false">
      <c r="A34" s="9" t="s">
        <v>295</v>
      </c>
      <c r="B34" s="9" t="s">
        <v>296</v>
      </c>
      <c r="C34" s="13" t="n">
        <f aca="false">C26*C31*C32*Datos!$C$40</f>
        <v>3461600</v>
      </c>
      <c r="D34" s="9" t="s">
        <v>297</v>
      </c>
      <c r="E34" s="9" t="s">
        <v>298</v>
      </c>
      <c r="F34" s="9" t="s">
        <v>65</v>
      </c>
    </row>
    <row r="35" customFormat="false" ht="28.35" hidden="false" customHeight="false" outlineLevel="0" collapsed="false">
      <c r="A35" s="9" t="s">
        <v>299</v>
      </c>
      <c r="B35" s="9" t="s">
        <v>300</v>
      </c>
      <c r="C35" s="18" t="n">
        <v>120000</v>
      </c>
      <c r="D35" s="9" t="s">
        <v>69</v>
      </c>
      <c r="E35" s="9" t="s">
        <v>301</v>
      </c>
      <c r="F35" s="9" t="s">
        <v>274</v>
      </c>
    </row>
    <row r="36" customFormat="false" ht="28.35" hidden="false" customHeight="false" outlineLevel="0" collapsed="false">
      <c r="A36" s="9" t="s">
        <v>302</v>
      </c>
      <c r="B36" s="9" t="s">
        <v>303</v>
      </c>
      <c r="C36" s="19" t="s">
        <v>274</v>
      </c>
      <c r="D36" s="9" t="s">
        <v>275</v>
      </c>
      <c r="E36" s="9" t="s">
        <v>304</v>
      </c>
      <c r="F36" s="9" t="s">
        <v>274</v>
      </c>
    </row>
    <row r="37" customFormat="false" ht="15" hidden="false" customHeight="false" outlineLevel="0" collapsed="false">
      <c r="A37" s="9" t="s">
        <v>305</v>
      </c>
      <c r="B37" s="9" t="s">
        <v>306</v>
      </c>
      <c r="C37" s="18" t="n">
        <v>75</v>
      </c>
      <c r="D37" s="9" t="s">
        <v>247</v>
      </c>
      <c r="E37" s="9" t="s">
        <v>307</v>
      </c>
      <c r="F37" s="9" t="s">
        <v>65</v>
      </c>
    </row>
    <row r="38" customFormat="false" ht="28.35" hidden="false" customHeight="false" outlineLevel="0" collapsed="false">
      <c r="A38" s="9" t="s">
        <v>308</v>
      </c>
      <c r="B38" s="9" t="s">
        <v>309</v>
      </c>
      <c r="C38" s="18" t="n">
        <v>40</v>
      </c>
      <c r="D38" s="9" t="s">
        <v>247</v>
      </c>
      <c r="E38" s="9" t="s">
        <v>223</v>
      </c>
      <c r="F38" s="9" t="s">
        <v>65</v>
      </c>
    </row>
    <row r="39" customFormat="false" ht="28.35" hidden="false" customHeight="false" outlineLevel="0" collapsed="false">
      <c r="A39" s="9" t="s">
        <v>310</v>
      </c>
      <c r="B39" s="9" t="s">
        <v>311</v>
      </c>
      <c r="C39" s="18" t="n">
        <v>3000000</v>
      </c>
      <c r="D39" s="9" t="s">
        <v>216</v>
      </c>
      <c r="E39" s="9" t="s">
        <v>312</v>
      </c>
      <c r="F39" s="9" t="s">
        <v>274</v>
      </c>
    </row>
    <row r="40" customFormat="false" ht="28.35" hidden="false" customHeight="false" outlineLevel="0" collapsed="false">
      <c r="A40" s="9" t="s">
        <v>313</v>
      </c>
      <c r="B40" s="9" t="s">
        <v>314</v>
      </c>
      <c r="C40" s="18" t="n">
        <v>15</v>
      </c>
      <c r="D40" s="9" t="s">
        <v>247</v>
      </c>
      <c r="E40" s="9" t="s">
        <v>315</v>
      </c>
      <c r="F40" s="9" t="s">
        <v>65</v>
      </c>
    </row>
    <row r="41" customFormat="false" ht="41.75" hidden="false" customHeight="false" outlineLevel="0" collapsed="false">
      <c r="A41" s="9" t="s">
        <v>316</v>
      </c>
      <c r="B41" s="9" t="s">
        <v>317</v>
      </c>
      <c r="C41" s="19" t="s">
        <v>274</v>
      </c>
      <c r="D41" s="9" t="s">
        <v>275</v>
      </c>
      <c r="E41" s="9" t="s">
        <v>318</v>
      </c>
      <c r="F41" s="9" t="s">
        <v>319</v>
      </c>
    </row>
    <row r="42" customFormat="false" ht="41.75" hidden="false" customHeight="false" outlineLevel="0" collapsed="false">
      <c r="A42" s="9" t="s">
        <v>320</v>
      </c>
      <c r="B42" s="9" t="s">
        <v>321</v>
      </c>
      <c r="C42" s="18" t="n">
        <v>30</v>
      </c>
      <c r="D42" s="9" t="s">
        <v>322</v>
      </c>
      <c r="E42" s="9" t="s">
        <v>323</v>
      </c>
      <c r="F42" s="9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325</v>
      </c>
    </row>
    <row r="2" customFormat="false" ht="15" hidden="false" customHeight="false" outlineLevel="0" collapsed="false">
      <c r="A2" s="2" t="s">
        <v>326</v>
      </c>
    </row>
    <row r="4" customFormat="false" ht="15" hidden="false" customHeight="false" outlineLevel="0" collapsed="false">
      <c r="A4" s="8" t="s">
        <v>327</v>
      </c>
      <c r="B4" s="8" t="s">
        <v>42</v>
      </c>
      <c r="C4" s="8" t="s">
        <v>43</v>
      </c>
      <c r="D4" s="8" t="s">
        <v>10</v>
      </c>
      <c r="E4" s="8" t="s">
        <v>328</v>
      </c>
    </row>
    <row r="5" customFormat="false" ht="15" hidden="false" customHeight="false" outlineLevel="0" collapsed="false">
      <c r="A5" s="9" t="s">
        <v>329</v>
      </c>
      <c r="B5" s="20" t="n">
        <f aca="false">Supuestos!$C$5</f>
        <v>3312</v>
      </c>
      <c r="C5" s="9" t="s">
        <v>195</v>
      </c>
      <c r="D5" s="9" t="s">
        <v>193</v>
      </c>
      <c r="E5" s="9" t="s">
        <v>330</v>
      </c>
    </row>
    <row r="6" customFormat="false" ht="15" hidden="false" customHeight="false" outlineLevel="0" collapsed="false">
      <c r="A6" s="9" t="s">
        <v>331</v>
      </c>
      <c r="B6" s="20" t="n">
        <f aca="false">Supuestos!$C$6</f>
        <v>4968</v>
      </c>
      <c r="C6" s="9" t="s">
        <v>195</v>
      </c>
      <c r="D6" s="9" t="s">
        <v>198</v>
      </c>
      <c r="E6" s="9" t="s">
        <v>332</v>
      </c>
    </row>
    <row r="7" customFormat="false" ht="15" hidden="false" customHeight="false" outlineLevel="0" collapsed="false">
      <c r="A7" s="9" t="s">
        <v>333</v>
      </c>
      <c r="B7" s="20" t="n">
        <f aca="false">Supuestos!$C$7*12</f>
        <v>351.648</v>
      </c>
      <c r="C7" s="9" t="s">
        <v>195</v>
      </c>
      <c r="D7" s="9" t="s">
        <v>334</v>
      </c>
      <c r="E7" s="9" t="s">
        <v>330</v>
      </c>
    </row>
    <row r="8" customFormat="false" ht="15" hidden="false" customHeight="false" outlineLevel="0" collapsed="false">
      <c r="A8" s="9" t="s">
        <v>335</v>
      </c>
      <c r="B8" s="21" t="n">
        <f aca="false">Supuestos!$C$13</f>
        <v>0.106173913043478</v>
      </c>
      <c r="C8" s="9" t="s">
        <v>78</v>
      </c>
      <c r="D8" s="9" t="s">
        <v>224</v>
      </c>
      <c r="E8" s="9" t="s">
        <v>330</v>
      </c>
    </row>
    <row r="11" customFormat="false" ht="15" hidden="false" customHeight="false" outlineLevel="0" collapsed="false">
      <c r="A11" s="3" t="s">
        <v>336</v>
      </c>
    </row>
    <row r="12" customFormat="false" ht="26.85" hidden="false" customHeight="false" outlineLevel="0" collapsed="false">
      <c r="A12" s="8" t="s">
        <v>337</v>
      </c>
      <c r="B12" s="8" t="s">
        <v>338</v>
      </c>
      <c r="C12" s="8" t="s">
        <v>339</v>
      </c>
      <c r="D12" s="8" t="s">
        <v>340</v>
      </c>
      <c r="E12" s="8" t="s">
        <v>341</v>
      </c>
      <c r="F12" s="8" t="s">
        <v>342</v>
      </c>
    </row>
    <row r="13" customFormat="false" ht="15" hidden="false" customHeight="false" outlineLevel="0" collapsed="false">
      <c r="A13" s="9" t="s">
        <v>343</v>
      </c>
      <c r="B13" s="21" t="n">
        <f aca="false">Supuestos!$C$11</f>
        <v>0.1</v>
      </c>
      <c r="C13" s="13" t="n">
        <f aca="false">B13*$B$5</f>
        <v>331.2</v>
      </c>
      <c r="D13" s="13" t="n">
        <f aca="false">C13*Datos!$C$9</f>
        <v>22521600</v>
      </c>
      <c r="E13" s="22" t="n">
        <f aca="false">D13*Supuestos!$C$16</f>
        <v>0</v>
      </c>
      <c r="F13" s="9" t="s">
        <v>223</v>
      </c>
    </row>
    <row r="14" customFormat="false" ht="15" hidden="false" customHeight="false" outlineLevel="0" collapsed="false">
      <c r="A14" s="9" t="s">
        <v>344</v>
      </c>
      <c r="B14" s="21" t="n">
        <f aca="false">Supuestos!$C$12</f>
        <v>0.2</v>
      </c>
      <c r="C14" s="13" t="n">
        <f aca="false">B14*$B$5</f>
        <v>662.4</v>
      </c>
      <c r="D14" s="13" t="n">
        <f aca="false">C14*Datos!$C$9</f>
        <v>45043200</v>
      </c>
      <c r="E14" s="22" t="n">
        <f aca="false">D14*Supuestos!$C$16</f>
        <v>0</v>
      </c>
      <c r="F14" s="9" t="s">
        <v>223</v>
      </c>
    </row>
    <row r="15" customFormat="false" ht="15" hidden="false" customHeight="false" outlineLevel="0" collapsed="false">
      <c r="A15" s="9" t="s">
        <v>345</v>
      </c>
      <c r="B15" s="21" t="n">
        <f aca="false">Datos!$C$37</f>
        <v>0.4</v>
      </c>
      <c r="C15" s="13" t="n">
        <f aca="false">B15*$B$5</f>
        <v>1324.8</v>
      </c>
      <c r="D15" s="13" t="n">
        <f aca="false">C15*Datos!$C$9</f>
        <v>90086400</v>
      </c>
      <c r="E15" s="22" t="n">
        <f aca="false">D15*Supuestos!$C$16</f>
        <v>0</v>
      </c>
      <c r="F15" s="9" t="s">
        <v>346</v>
      </c>
    </row>
    <row r="17" customFormat="false" ht="15" hidden="false" customHeight="false" outlineLevel="0" collapsed="false">
      <c r="A17" s="2" t="s">
        <v>347</v>
      </c>
    </row>
    <row r="19" customFormat="false" ht="15" hidden="false" customHeight="false" outlineLevel="0" collapsed="false">
      <c r="A19" s="3" t="s">
        <v>348</v>
      </c>
    </row>
    <row r="20" customFormat="false" ht="15" hidden="false" customHeight="false" outlineLevel="0" collapsed="false">
      <c r="A20" s="8" t="s">
        <v>349</v>
      </c>
      <c r="B20" s="8" t="s">
        <v>350</v>
      </c>
      <c r="C20" s="8" t="s">
        <v>45</v>
      </c>
    </row>
    <row r="21" customFormat="false" ht="41.75" hidden="false" customHeight="false" outlineLevel="0" collapsed="false">
      <c r="A21" s="9" t="s">
        <v>351</v>
      </c>
      <c r="B21" s="9" t="s">
        <v>352</v>
      </c>
      <c r="C21" s="9" t="s">
        <v>170</v>
      </c>
    </row>
    <row r="22" customFormat="false" ht="28.35" hidden="false" customHeight="false" outlineLevel="0" collapsed="false">
      <c r="A22" s="9" t="s">
        <v>353</v>
      </c>
      <c r="B22" s="9" t="s">
        <v>354</v>
      </c>
      <c r="C22" s="9" t="s">
        <v>239</v>
      </c>
    </row>
    <row r="23" customFormat="false" ht="55.2" hidden="false" customHeight="false" outlineLevel="0" collapsed="false">
      <c r="A23" s="9" t="s">
        <v>355</v>
      </c>
      <c r="B23" s="9" t="s">
        <v>356</v>
      </c>
      <c r="C23" s="9" t="s">
        <v>170</v>
      </c>
    </row>
    <row r="24" customFormat="false" ht="41.75" hidden="false" customHeight="false" outlineLevel="0" collapsed="false">
      <c r="A24" s="9" t="s">
        <v>357</v>
      </c>
      <c r="B24" s="9" t="s">
        <v>358</v>
      </c>
      <c r="C24" s="9" t="s">
        <v>359</v>
      </c>
    </row>
    <row r="26" customFormat="false" ht="15" hidden="false" customHeight="false" outlineLevel="0" collapsed="false">
      <c r="A26" s="3" t="s">
        <v>360</v>
      </c>
    </row>
    <row r="27" customFormat="false" ht="26.85" hidden="false" customHeight="false" outlineLevel="0" collapsed="false">
      <c r="A27" s="8" t="s">
        <v>337</v>
      </c>
      <c r="B27" s="8" t="s">
        <v>338</v>
      </c>
      <c r="C27" s="8" t="s">
        <v>361</v>
      </c>
      <c r="D27" s="8" t="s">
        <v>340</v>
      </c>
      <c r="E27" s="8" t="s">
        <v>362</v>
      </c>
      <c r="F27" s="8" t="s">
        <v>363</v>
      </c>
    </row>
    <row r="28" customFormat="false" ht="15" hidden="false" customHeight="false" outlineLevel="0" collapsed="false">
      <c r="A28" s="9" t="s">
        <v>364</v>
      </c>
      <c r="B28" s="21" t="n">
        <f aca="false">Supuestos!$C$11</f>
        <v>0.1</v>
      </c>
      <c r="C28" s="23" t="n">
        <f aca="false">Datos!$C$6</f>
        <v>8</v>
      </c>
      <c r="D28" s="13" t="n">
        <f aca="false">B28*C28*Datos!$C$7*Datos!$C$8*Datos!$C$9</f>
        <v>22521600</v>
      </c>
      <c r="E28" s="20" t="n">
        <f aca="false">Capacidad!$G$20</f>
        <v>17925000</v>
      </c>
      <c r="F28" s="17" t="n">
        <f aca="false">IF(D28=0,"n/a",E28/D28*12)</f>
        <v>9.55083120204604</v>
      </c>
    </row>
    <row r="29" customFormat="false" ht="15" hidden="false" customHeight="false" outlineLevel="0" collapsed="false">
      <c r="A29" s="9" t="s">
        <v>344</v>
      </c>
      <c r="B29" s="21" t="n">
        <f aca="false">Supuestos!$C$12</f>
        <v>0.2</v>
      </c>
      <c r="C29" s="23" t="n">
        <f aca="false">Datos!$C$6</f>
        <v>8</v>
      </c>
      <c r="D29" s="13" t="n">
        <f aca="false">B29*C29*Datos!$C$7*Datos!$C$8*Datos!$C$9</f>
        <v>45043200</v>
      </c>
      <c r="E29" s="20" t="n">
        <f aca="false">Capacidad!$G$20</f>
        <v>17925000</v>
      </c>
      <c r="F29" s="17" t="n">
        <f aca="false">IF(D29=0,"n/a",E29/D29*12)</f>
        <v>4.77541560102302</v>
      </c>
    </row>
    <row r="30" customFormat="false" ht="15" hidden="false" customHeight="false" outlineLevel="0" collapsed="false">
      <c r="A30" s="9" t="s">
        <v>365</v>
      </c>
      <c r="B30" s="21" t="n">
        <f aca="false">Supuestos!$C$12</f>
        <v>0.2</v>
      </c>
      <c r="C30" s="23" t="n">
        <f aca="false">Datos!$C$5</f>
        <v>12</v>
      </c>
      <c r="D30" s="13" t="n">
        <f aca="false">B30*C30*Datos!$C$7*Datos!$C$8*Datos!$C$9</f>
        <v>67564800</v>
      </c>
      <c r="E30" s="20" t="n">
        <f aca="false">Capacidad!$G$20</f>
        <v>17925000</v>
      </c>
      <c r="F30" s="17" t="n">
        <f aca="false">IF(D30=0,"n/a",E30/D30*12)</f>
        <v>3.18361040068201</v>
      </c>
    </row>
    <row r="31" customFormat="false" ht="15" hidden="false" customHeight="false" outlineLevel="0" collapsed="false">
      <c r="A31" s="9" t="s">
        <v>366</v>
      </c>
      <c r="B31" s="21" t="n">
        <f aca="false">Supuestos!$C$12</f>
        <v>0.2</v>
      </c>
      <c r="C31" s="23" t="n">
        <f aca="false">Datos!$C$6</f>
        <v>8</v>
      </c>
      <c r="D31" s="13" t="n">
        <f aca="false">D29</f>
        <v>45043200</v>
      </c>
      <c r="E31" s="20" t="n">
        <f aca="false">Capacidad!$G$20+Fondo_Externo!$F$10</f>
        <v>36525000</v>
      </c>
      <c r="F31" s="17" t="n">
        <f aca="false">IF(D31=0,"n/a",E31/D31*12)</f>
        <v>9.73065856777494</v>
      </c>
    </row>
    <row r="32" customFormat="false" ht="15" hidden="false" customHeight="false" outlineLevel="0" collapsed="false">
      <c r="A32" s="2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368</v>
      </c>
    </row>
    <row r="2" customFormat="false" ht="15" hidden="false" customHeight="false" outlineLevel="0" collapsed="false">
      <c r="A2" s="2" t="s">
        <v>369</v>
      </c>
    </row>
    <row r="4" customFormat="false" ht="15" hidden="false" customHeight="false" outlineLevel="0" collapsed="false">
      <c r="A4" s="8" t="s">
        <v>327</v>
      </c>
      <c r="B4" s="8" t="s">
        <v>42</v>
      </c>
      <c r="C4" s="8" t="s">
        <v>43</v>
      </c>
      <c r="D4" s="8" t="s">
        <v>10</v>
      </c>
      <c r="E4" s="8" t="s">
        <v>370</v>
      </c>
    </row>
    <row r="5" customFormat="false" ht="15" hidden="false" customHeight="false" outlineLevel="0" collapsed="false">
      <c r="A5" s="9" t="s">
        <v>371</v>
      </c>
      <c r="B5" s="20" t="n">
        <f aca="false">Datos!$C$16</f>
        <v>36000000000</v>
      </c>
      <c r="C5" s="9" t="s">
        <v>96</v>
      </c>
      <c r="D5" s="9" t="s">
        <v>94</v>
      </c>
      <c r="E5" s="9" t="s">
        <v>372</v>
      </c>
    </row>
    <row r="6" customFormat="false" ht="15" hidden="false" customHeight="false" outlineLevel="0" collapsed="false">
      <c r="A6" s="9" t="s">
        <v>373</v>
      </c>
      <c r="B6" s="21" t="n">
        <f aca="false">Datos!$C$36</f>
        <v>0.02</v>
      </c>
      <c r="C6" s="9" t="s">
        <v>78</v>
      </c>
      <c r="D6" s="9" t="s">
        <v>167</v>
      </c>
      <c r="E6" s="9" t="s">
        <v>374</v>
      </c>
    </row>
    <row r="7" customFormat="false" ht="15" hidden="false" customHeight="false" outlineLevel="0" collapsed="false">
      <c r="A7" s="9" t="s">
        <v>375</v>
      </c>
      <c r="B7" s="19" t="n">
        <f aca="false">B5*B6</f>
        <v>720000000</v>
      </c>
      <c r="C7" s="9" t="s">
        <v>96</v>
      </c>
      <c r="D7" s="9" t="s">
        <v>376</v>
      </c>
      <c r="E7" s="9" t="s">
        <v>377</v>
      </c>
    </row>
    <row r="8" customFormat="false" ht="15" hidden="false" customHeight="false" outlineLevel="0" collapsed="false">
      <c r="A8" s="9" t="s">
        <v>378</v>
      </c>
      <c r="B8" s="21" t="n">
        <f aca="false">Datos!$C$17</f>
        <v>0.26</v>
      </c>
      <c r="C8" s="9" t="s">
        <v>78</v>
      </c>
      <c r="D8" s="9" t="s">
        <v>99</v>
      </c>
      <c r="E8" s="9" t="s">
        <v>379</v>
      </c>
    </row>
    <row r="9" customFormat="false" ht="15" hidden="false" customHeight="false" outlineLevel="0" collapsed="false">
      <c r="A9" s="9" t="s">
        <v>380</v>
      </c>
      <c r="B9" s="19" t="n">
        <f aca="false">B7*B8</f>
        <v>187200000</v>
      </c>
      <c r="C9" s="9" t="s">
        <v>96</v>
      </c>
      <c r="D9" s="9" t="s">
        <v>381</v>
      </c>
      <c r="E9" s="9" t="s">
        <v>382</v>
      </c>
    </row>
    <row r="10" customFormat="false" ht="15" hidden="false" customHeight="false" outlineLevel="0" collapsed="false">
      <c r="A10" s="9" t="s">
        <v>383</v>
      </c>
      <c r="B10" s="21" t="n">
        <f aca="false">Supuestos!$C$8</f>
        <v>0.3</v>
      </c>
      <c r="C10" s="9" t="s">
        <v>78</v>
      </c>
      <c r="D10" s="9" t="s">
        <v>206</v>
      </c>
      <c r="E10" s="9" t="s">
        <v>384</v>
      </c>
    </row>
    <row r="11" customFormat="false" ht="28.35" hidden="false" customHeight="false" outlineLevel="0" collapsed="false">
      <c r="A11" s="9" t="s">
        <v>385</v>
      </c>
      <c r="B11" s="20" t="n">
        <f aca="false">Datos!$C$24*Datos!$C$25</f>
        <v>275</v>
      </c>
      <c r="C11" s="9" t="s">
        <v>128</v>
      </c>
      <c r="D11" s="9" t="s">
        <v>386</v>
      </c>
      <c r="E11" s="9" t="s"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7"/>
    <col collapsed="false" customWidth="true" hidden="false" outlineLevel="0" max="20" min="8" style="0" width="8"/>
    <col collapsed="false" customWidth="true" hidden="false" outlineLevel="0" max="21" min="21" style="0" width="30"/>
  </cols>
  <sheetData>
    <row r="1" customFormat="false" ht="17.35" hidden="false" customHeight="false" outlineLevel="0" collapsed="false">
      <c r="A1" s="1" t="s">
        <v>388</v>
      </c>
    </row>
    <row r="2" customFormat="false" ht="15" hidden="false" customHeight="false" outlineLevel="0" collapsed="false">
      <c r="A2" s="2" t="s">
        <v>389</v>
      </c>
    </row>
    <row r="4" customFormat="false" ht="39.55" hidden="false" customHeight="false" outlineLevel="0" collapsed="false">
      <c r="A4" s="8" t="s">
        <v>40</v>
      </c>
      <c r="B4" s="8" t="s">
        <v>390</v>
      </c>
      <c r="C4" s="8" t="s">
        <v>391</v>
      </c>
      <c r="D4" s="8" t="s">
        <v>392</v>
      </c>
      <c r="E4" s="8" t="s">
        <v>393</v>
      </c>
      <c r="F4" s="8" t="s">
        <v>394</v>
      </c>
      <c r="G4" s="8" t="s">
        <v>395</v>
      </c>
      <c r="H4" s="8" t="s">
        <v>396</v>
      </c>
      <c r="I4" s="8" t="s">
        <v>397</v>
      </c>
      <c r="J4" s="8" t="s">
        <v>398</v>
      </c>
      <c r="K4" s="8" t="s">
        <v>399</v>
      </c>
      <c r="L4" s="8" t="s">
        <v>400</v>
      </c>
      <c r="M4" s="8" t="s">
        <v>401</v>
      </c>
      <c r="N4" s="8" t="s">
        <v>402</v>
      </c>
      <c r="O4" s="8" t="s">
        <v>403</v>
      </c>
      <c r="P4" s="8" t="s">
        <v>404</v>
      </c>
      <c r="Q4" s="8" t="s">
        <v>405</v>
      </c>
      <c r="R4" s="8" t="s">
        <v>406</v>
      </c>
      <c r="S4" s="8" t="s">
        <v>407</v>
      </c>
      <c r="T4" s="8" t="s">
        <v>408</v>
      </c>
      <c r="U4" s="8" t="s">
        <v>409</v>
      </c>
    </row>
    <row r="5" customFormat="false" ht="28.35" hidden="false" customHeight="false" outlineLevel="0" collapsed="false">
      <c r="A5" s="9" t="s">
        <v>410</v>
      </c>
      <c r="B5" s="9" t="s">
        <v>411</v>
      </c>
      <c r="C5" s="9" t="s">
        <v>12</v>
      </c>
      <c r="D5" s="9" t="s">
        <v>412</v>
      </c>
      <c r="E5" s="9" t="s">
        <v>413</v>
      </c>
      <c r="F5" s="9" t="s">
        <v>414</v>
      </c>
      <c r="G5" s="10" t="n">
        <v>5</v>
      </c>
      <c r="H5" s="10" t="n">
        <v>0</v>
      </c>
      <c r="I5" s="10" t="n">
        <v>0</v>
      </c>
      <c r="J5" s="10" t="n">
        <v>0</v>
      </c>
      <c r="K5" s="10" t="n">
        <v>4</v>
      </c>
      <c r="L5" s="10" t="n">
        <v>6</v>
      </c>
      <c r="M5" s="10" t="n">
        <v>8</v>
      </c>
      <c r="N5" s="10" t="n">
        <v>0</v>
      </c>
      <c r="O5" s="10" t="n">
        <v>0</v>
      </c>
      <c r="P5" s="10" t="n">
        <v>0</v>
      </c>
      <c r="Q5" s="10" t="n">
        <v>1</v>
      </c>
      <c r="R5" s="10" t="n">
        <v>2</v>
      </c>
      <c r="S5" s="10" t="n">
        <v>3</v>
      </c>
      <c r="T5" s="10" t="n">
        <v>1</v>
      </c>
      <c r="U5" s="9" t="s">
        <v>415</v>
      </c>
    </row>
    <row r="6" customFormat="false" ht="28.35" hidden="false" customHeight="false" outlineLevel="0" collapsed="false">
      <c r="A6" s="9" t="s">
        <v>416</v>
      </c>
      <c r="B6" s="9" t="s">
        <v>411</v>
      </c>
      <c r="C6" s="9" t="s">
        <v>12</v>
      </c>
      <c r="D6" s="9" t="s">
        <v>417</v>
      </c>
      <c r="E6" s="9" t="s">
        <v>418</v>
      </c>
      <c r="F6" s="9" t="s">
        <v>419</v>
      </c>
      <c r="G6" s="10" t="n">
        <v>3</v>
      </c>
      <c r="H6" s="10" t="n">
        <v>0</v>
      </c>
      <c r="I6" s="10" t="n">
        <v>0</v>
      </c>
      <c r="J6" s="10" t="n">
        <v>0</v>
      </c>
      <c r="K6" s="10" t="n">
        <v>3</v>
      </c>
      <c r="L6" s="10" t="n">
        <v>4</v>
      </c>
      <c r="M6" s="10" t="n">
        <v>6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1</v>
      </c>
      <c r="U6" s="9"/>
    </row>
    <row r="7" customFormat="false" ht="28.35" hidden="false" customHeight="false" outlineLevel="0" collapsed="false">
      <c r="A7" s="9" t="s">
        <v>420</v>
      </c>
      <c r="B7" s="9" t="s">
        <v>411</v>
      </c>
      <c r="C7" s="9" t="s">
        <v>12</v>
      </c>
      <c r="D7" s="9" t="s">
        <v>421</v>
      </c>
      <c r="E7" s="9" t="s">
        <v>422</v>
      </c>
      <c r="F7" s="9" t="s">
        <v>423</v>
      </c>
      <c r="G7" s="10" t="n">
        <v>8</v>
      </c>
      <c r="H7" s="10" t="n">
        <v>2</v>
      </c>
      <c r="I7" s="10" t="n">
        <v>4</v>
      </c>
      <c r="J7" s="10" t="n">
        <v>6</v>
      </c>
      <c r="K7" s="10" t="n">
        <v>6</v>
      </c>
      <c r="L7" s="10" t="n">
        <v>8</v>
      </c>
      <c r="M7" s="10" t="n">
        <v>12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1</v>
      </c>
      <c r="U7" s="9" t="s">
        <v>424</v>
      </c>
    </row>
    <row r="8" customFormat="false" ht="28.35" hidden="false" customHeight="false" outlineLevel="0" collapsed="false">
      <c r="A8" s="9" t="s">
        <v>425</v>
      </c>
      <c r="B8" s="9" t="s">
        <v>411</v>
      </c>
      <c r="C8" s="9" t="s">
        <v>12</v>
      </c>
      <c r="D8" s="9" t="s">
        <v>426</v>
      </c>
      <c r="E8" s="9" t="s">
        <v>427</v>
      </c>
      <c r="F8" s="9" t="s">
        <v>428</v>
      </c>
      <c r="G8" s="10" t="n">
        <v>5</v>
      </c>
      <c r="H8" s="10" t="n">
        <v>0</v>
      </c>
      <c r="I8" s="10" t="n">
        <v>0</v>
      </c>
      <c r="J8" s="10" t="n">
        <v>0</v>
      </c>
      <c r="K8" s="10" t="n">
        <v>3</v>
      </c>
      <c r="L8" s="10" t="n">
        <v>5</v>
      </c>
      <c r="M8" s="10" t="n">
        <v>7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1</v>
      </c>
      <c r="U8" s="9" t="s">
        <v>429</v>
      </c>
    </row>
    <row r="9" customFormat="false" ht="15" hidden="false" customHeight="false" outlineLevel="0" collapsed="false">
      <c r="A9" s="9" t="s">
        <v>430</v>
      </c>
      <c r="B9" s="9" t="s">
        <v>411</v>
      </c>
      <c r="C9" s="9" t="s">
        <v>12</v>
      </c>
      <c r="D9" s="9" t="s">
        <v>431</v>
      </c>
      <c r="E9" s="9" t="s">
        <v>432</v>
      </c>
      <c r="F9" s="9" t="s">
        <v>433</v>
      </c>
      <c r="G9" s="10" t="n">
        <v>3</v>
      </c>
      <c r="H9" s="10" t="n">
        <v>0</v>
      </c>
      <c r="I9" s="10" t="n">
        <v>0</v>
      </c>
      <c r="J9" s="10" t="n">
        <v>0</v>
      </c>
      <c r="K9" s="10" t="n">
        <v>2</v>
      </c>
      <c r="L9" s="10" t="n">
        <v>4</v>
      </c>
      <c r="M9" s="10" t="n">
        <v>6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1</v>
      </c>
      <c r="U9" s="9"/>
    </row>
    <row r="10" customFormat="false" ht="28.35" hidden="false" customHeight="false" outlineLevel="0" collapsed="false">
      <c r="A10" s="9" t="s">
        <v>434</v>
      </c>
      <c r="B10" s="9" t="s">
        <v>411</v>
      </c>
      <c r="C10" s="9" t="s">
        <v>435</v>
      </c>
      <c r="D10" s="9" t="s">
        <v>436</v>
      </c>
      <c r="E10" s="9" t="s">
        <v>437</v>
      </c>
      <c r="F10" s="9" t="s">
        <v>438</v>
      </c>
      <c r="G10" s="10" t="n">
        <v>5</v>
      </c>
      <c r="H10" s="10" t="n">
        <v>6</v>
      </c>
      <c r="I10" s="10" t="n">
        <v>8</v>
      </c>
      <c r="J10" s="10" t="n">
        <v>10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2</v>
      </c>
      <c r="R10" s="10" t="n">
        <v>3</v>
      </c>
      <c r="S10" s="10" t="n">
        <v>4</v>
      </c>
      <c r="T10" s="10" t="n">
        <v>1</v>
      </c>
      <c r="U10" s="9"/>
    </row>
    <row r="11" customFormat="false" ht="28.35" hidden="false" customHeight="false" outlineLevel="0" collapsed="false">
      <c r="A11" s="9" t="s">
        <v>439</v>
      </c>
      <c r="B11" s="9" t="s">
        <v>411</v>
      </c>
      <c r="C11" s="9" t="s">
        <v>435</v>
      </c>
      <c r="D11" s="9" t="s">
        <v>440</v>
      </c>
      <c r="E11" s="9" t="s">
        <v>441</v>
      </c>
      <c r="F11" s="9" t="s">
        <v>442</v>
      </c>
      <c r="G11" s="10" t="n">
        <v>3</v>
      </c>
      <c r="H11" s="10" t="n">
        <v>4</v>
      </c>
      <c r="I11" s="10" t="n">
        <v>6</v>
      </c>
      <c r="J11" s="10" t="n">
        <v>10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1</v>
      </c>
      <c r="U11" s="9" t="s">
        <v>443</v>
      </c>
    </row>
    <row r="12" customFormat="false" ht="28.35" hidden="false" customHeight="false" outlineLevel="0" collapsed="false">
      <c r="A12" s="9" t="s">
        <v>444</v>
      </c>
      <c r="B12" s="9" t="s">
        <v>411</v>
      </c>
      <c r="C12" s="9" t="s">
        <v>435</v>
      </c>
      <c r="D12" s="9" t="s">
        <v>445</v>
      </c>
      <c r="E12" s="9" t="s">
        <v>446</v>
      </c>
      <c r="F12" s="9" t="s">
        <v>447</v>
      </c>
      <c r="G12" s="10" t="n">
        <v>13</v>
      </c>
      <c r="H12" s="10" t="n">
        <v>24</v>
      </c>
      <c r="I12" s="10" t="n">
        <v>32</v>
      </c>
      <c r="J12" s="10" t="n">
        <v>45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1</v>
      </c>
      <c r="U12" s="9" t="s">
        <v>448</v>
      </c>
    </row>
    <row r="13" customFormat="false" ht="28.35" hidden="false" customHeight="false" outlineLevel="0" collapsed="false">
      <c r="A13" s="9" t="s">
        <v>449</v>
      </c>
      <c r="B13" s="9" t="s">
        <v>411</v>
      </c>
      <c r="C13" s="9" t="s">
        <v>435</v>
      </c>
      <c r="D13" s="9" t="s">
        <v>450</v>
      </c>
      <c r="E13" s="9" t="s">
        <v>451</v>
      </c>
      <c r="F13" s="9" t="s">
        <v>452</v>
      </c>
      <c r="G13" s="10" t="n">
        <v>8</v>
      </c>
      <c r="H13" s="10" t="n">
        <v>8</v>
      </c>
      <c r="I13" s="10" t="n">
        <v>12</v>
      </c>
      <c r="J13" s="10" t="n">
        <v>16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1</v>
      </c>
      <c r="U13" s="9"/>
    </row>
    <row r="14" customFormat="false" ht="28.35" hidden="false" customHeight="false" outlineLevel="0" collapsed="false">
      <c r="A14" s="9" t="s">
        <v>453</v>
      </c>
      <c r="B14" s="9" t="s">
        <v>411</v>
      </c>
      <c r="C14" s="9" t="s">
        <v>435</v>
      </c>
      <c r="D14" s="9" t="s">
        <v>454</v>
      </c>
      <c r="E14" s="9" t="s">
        <v>455</v>
      </c>
      <c r="F14" s="9" t="s">
        <v>456</v>
      </c>
      <c r="G14" s="10" t="n">
        <v>8</v>
      </c>
      <c r="H14" s="10" t="n">
        <v>10</v>
      </c>
      <c r="I14" s="10" t="n">
        <v>16</v>
      </c>
      <c r="J14" s="10" t="n">
        <v>24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1</v>
      </c>
      <c r="U14" s="9"/>
    </row>
    <row r="15" customFormat="false" ht="28.35" hidden="false" customHeight="false" outlineLevel="0" collapsed="false">
      <c r="A15" s="9" t="s">
        <v>457</v>
      </c>
      <c r="B15" s="9" t="s">
        <v>411</v>
      </c>
      <c r="C15" s="9" t="s">
        <v>435</v>
      </c>
      <c r="D15" s="9" t="s">
        <v>458</v>
      </c>
      <c r="E15" s="9" t="s">
        <v>459</v>
      </c>
      <c r="F15" s="9" t="s">
        <v>460</v>
      </c>
      <c r="G15" s="10" t="n">
        <v>8</v>
      </c>
      <c r="H15" s="10" t="n">
        <v>8</v>
      </c>
      <c r="I15" s="10" t="n">
        <v>10</v>
      </c>
      <c r="J15" s="10" t="n">
        <v>14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1</v>
      </c>
      <c r="U15" s="9"/>
    </row>
    <row r="16" customFormat="false" ht="28.35" hidden="false" customHeight="false" outlineLevel="0" collapsed="false">
      <c r="A16" s="9" t="s">
        <v>461</v>
      </c>
      <c r="B16" s="9" t="s">
        <v>411</v>
      </c>
      <c r="C16" s="9" t="s">
        <v>435</v>
      </c>
      <c r="D16" s="9" t="s">
        <v>462</v>
      </c>
      <c r="E16" s="9" t="s">
        <v>463</v>
      </c>
      <c r="F16" s="9" t="s">
        <v>464</v>
      </c>
      <c r="G16" s="10" t="n">
        <v>8</v>
      </c>
      <c r="H16" s="10" t="n">
        <v>12</v>
      </c>
      <c r="I16" s="10" t="n">
        <v>18</v>
      </c>
      <c r="J16" s="10" t="n">
        <v>26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2</v>
      </c>
      <c r="R16" s="10" t="n">
        <v>3</v>
      </c>
      <c r="S16" s="10" t="n">
        <v>4</v>
      </c>
      <c r="T16" s="10" t="n">
        <v>1</v>
      </c>
      <c r="U16" s="9"/>
    </row>
    <row r="17" customFormat="false" ht="15" hidden="false" customHeight="false" outlineLevel="0" collapsed="false">
      <c r="A17" s="9" t="s">
        <v>465</v>
      </c>
      <c r="B17" s="9" t="s">
        <v>411</v>
      </c>
      <c r="C17" s="9" t="s">
        <v>435</v>
      </c>
      <c r="D17" s="9" t="s">
        <v>466</v>
      </c>
      <c r="E17" s="9" t="s">
        <v>467</v>
      </c>
      <c r="F17" s="9" t="s">
        <v>468</v>
      </c>
      <c r="G17" s="10" t="n">
        <v>13</v>
      </c>
      <c r="H17" s="10" t="n">
        <v>14</v>
      </c>
      <c r="I17" s="10" t="n">
        <v>20</v>
      </c>
      <c r="J17" s="10" t="n">
        <v>28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4</v>
      </c>
      <c r="R17" s="10" t="n">
        <v>6</v>
      </c>
      <c r="S17" s="10" t="n">
        <v>8</v>
      </c>
      <c r="T17" s="10" t="n">
        <v>1</v>
      </c>
      <c r="U17" s="9"/>
    </row>
    <row r="18" customFormat="false" ht="28.35" hidden="false" customHeight="false" outlineLevel="0" collapsed="false">
      <c r="A18" s="9" t="s">
        <v>469</v>
      </c>
      <c r="B18" s="9" t="s">
        <v>411</v>
      </c>
      <c r="C18" s="9" t="s">
        <v>435</v>
      </c>
      <c r="D18" s="9" t="s">
        <v>470</v>
      </c>
      <c r="E18" s="9" t="s">
        <v>471</v>
      </c>
      <c r="F18" s="9" t="s">
        <v>472</v>
      </c>
      <c r="G18" s="10" t="n">
        <v>5</v>
      </c>
      <c r="H18" s="10" t="n">
        <v>6</v>
      </c>
      <c r="I18" s="10" t="n">
        <v>8</v>
      </c>
      <c r="J18" s="10" t="n">
        <v>10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1</v>
      </c>
      <c r="U18" s="9"/>
    </row>
    <row r="19" customFormat="false" ht="28.35" hidden="false" customHeight="false" outlineLevel="0" collapsed="false">
      <c r="A19" s="9" t="s">
        <v>473</v>
      </c>
      <c r="B19" s="9" t="s">
        <v>411</v>
      </c>
      <c r="C19" s="9" t="s">
        <v>435</v>
      </c>
      <c r="D19" s="9" t="s">
        <v>474</v>
      </c>
      <c r="E19" s="9" t="s">
        <v>475</v>
      </c>
      <c r="F19" s="9" t="s">
        <v>476</v>
      </c>
      <c r="G19" s="10" t="n">
        <v>5</v>
      </c>
      <c r="H19" s="10" t="n">
        <v>6</v>
      </c>
      <c r="I19" s="10" t="n">
        <v>8</v>
      </c>
      <c r="J19" s="10" t="n">
        <v>10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1</v>
      </c>
      <c r="U19" s="9"/>
    </row>
    <row r="20" customFormat="false" ht="28.35" hidden="false" customHeight="false" outlineLevel="0" collapsed="false">
      <c r="A20" s="9" t="s">
        <v>477</v>
      </c>
      <c r="B20" s="9" t="s">
        <v>411</v>
      </c>
      <c r="C20" s="9" t="s">
        <v>478</v>
      </c>
      <c r="D20" s="9" t="s">
        <v>479</v>
      </c>
      <c r="E20" s="9" t="s">
        <v>480</v>
      </c>
      <c r="F20" s="9" t="s">
        <v>481</v>
      </c>
      <c r="G20" s="10" t="n">
        <v>3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3</v>
      </c>
      <c r="O20" s="10" t="n">
        <v>4</v>
      </c>
      <c r="P20" s="10" t="n">
        <v>6</v>
      </c>
      <c r="Q20" s="10" t="n">
        <v>0</v>
      </c>
      <c r="R20" s="10" t="n">
        <v>0</v>
      </c>
      <c r="S20" s="10" t="n">
        <v>0</v>
      </c>
      <c r="T20" s="10" t="n">
        <v>1</v>
      </c>
      <c r="U20" s="9" t="s">
        <v>482</v>
      </c>
    </row>
    <row r="21" customFormat="false" ht="15" hidden="false" customHeight="false" outlineLevel="0" collapsed="false">
      <c r="A21" s="9" t="s">
        <v>483</v>
      </c>
      <c r="B21" s="9" t="s">
        <v>411</v>
      </c>
      <c r="C21" s="9" t="s">
        <v>478</v>
      </c>
      <c r="D21" s="9" t="s">
        <v>484</v>
      </c>
      <c r="E21" s="9" t="s">
        <v>485</v>
      </c>
      <c r="F21" s="9" t="s">
        <v>486</v>
      </c>
      <c r="G21" s="10" t="n">
        <v>2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1</v>
      </c>
      <c r="O21" s="10" t="n">
        <v>2</v>
      </c>
      <c r="P21" s="10" t="n">
        <v>3</v>
      </c>
      <c r="Q21" s="10" t="n">
        <v>0</v>
      </c>
      <c r="R21" s="10" t="n">
        <v>0</v>
      </c>
      <c r="S21" s="10" t="n">
        <v>0</v>
      </c>
      <c r="T21" s="10" t="n">
        <v>1</v>
      </c>
      <c r="U21" s="9"/>
    </row>
    <row r="22" customFormat="false" ht="28.35" hidden="false" customHeight="false" outlineLevel="0" collapsed="false">
      <c r="A22" s="9" t="s">
        <v>487</v>
      </c>
      <c r="B22" s="9" t="s">
        <v>488</v>
      </c>
      <c r="C22" s="9" t="s">
        <v>12</v>
      </c>
      <c r="D22" s="9" t="s">
        <v>489</v>
      </c>
      <c r="E22" s="9" t="s">
        <v>490</v>
      </c>
      <c r="F22" s="9" t="s">
        <v>491</v>
      </c>
      <c r="G22" s="10" t="n">
        <v>5</v>
      </c>
      <c r="H22" s="10" t="n">
        <v>0</v>
      </c>
      <c r="I22" s="10" t="n">
        <v>0</v>
      </c>
      <c r="J22" s="10" t="n">
        <v>0</v>
      </c>
      <c r="K22" s="10" t="n">
        <v>4</v>
      </c>
      <c r="L22" s="10" t="n">
        <v>6</v>
      </c>
      <c r="M22" s="10" t="n">
        <v>9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1</v>
      </c>
      <c r="U22" s="9" t="s">
        <v>492</v>
      </c>
    </row>
    <row r="23" customFormat="false" ht="28.35" hidden="false" customHeight="false" outlineLevel="0" collapsed="false">
      <c r="A23" s="9" t="s">
        <v>493</v>
      </c>
      <c r="B23" s="9" t="s">
        <v>488</v>
      </c>
      <c r="C23" s="9" t="s">
        <v>435</v>
      </c>
      <c r="D23" s="9" t="s">
        <v>494</v>
      </c>
      <c r="E23" s="9" t="s">
        <v>495</v>
      </c>
      <c r="F23" s="9" t="s">
        <v>496</v>
      </c>
      <c r="G23" s="10" t="n">
        <v>8</v>
      </c>
      <c r="H23" s="10" t="n">
        <v>8</v>
      </c>
      <c r="I23" s="10" t="n">
        <v>12</v>
      </c>
      <c r="J23" s="10" t="n">
        <v>18</v>
      </c>
      <c r="K23" s="10" t="n">
        <v>0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1</v>
      </c>
      <c r="R23" s="10" t="n">
        <v>2</v>
      </c>
      <c r="S23" s="10" t="n">
        <v>3</v>
      </c>
      <c r="T23" s="10" t="n">
        <v>1</v>
      </c>
      <c r="U23" s="9" t="s">
        <v>497</v>
      </c>
    </row>
    <row r="24" customFormat="false" ht="28.35" hidden="false" customHeight="false" outlineLevel="0" collapsed="false">
      <c r="A24" s="9" t="s">
        <v>498</v>
      </c>
      <c r="B24" s="9" t="s">
        <v>499</v>
      </c>
      <c r="C24" s="9" t="s">
        <v>478</v>
      </c>
      <c r="D24" s="9" t="s">
        <v>500</v>
      </c>
      <c r="E24" s="9" t="s">
        <v>501</v>
      </c>
      <c r="F24" s="9" t="s">
        <v>502</v>
      </c>
      <c r="G24" s="10" t="n">
        <v>2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1</v>
      </c>
      <c r="O24" s="10" t="n">
        <v>2</v>
      </c>
      <c r="P24" s="10" t="n">
        <v>3</v>
      </c>
      <c r="Q24" s="10" t="n">
        <v>0</v>
      </c>
      <c r="R24" s="10" t="n">
        <v>0</v>
      </c>
      <c r="S24" s="10" t="n">
        <v>0</v>
      </c>
      <c r="T24" s="20" t="n">
        <f aca="false">Supuestos!$C$17</f>
        <v>0</v>
      </c>
      <c r="U24" s="9" t="s">
        <v>503</v>
      </c>
    </row>
    <row r="25" customFormat="false" ht="28.35" hidden="false" customHeight="false" outlineLevel="0" collapsed="false">
      <c r="A25" s="9" t="s">
        <v>504</v>
      </c>
      <c r="B25" s="9" t="s">
        <v>499</v>
      </c>
      <c r="C25" s="9" t="s">
        <v>435</v>
      </c>
      <c r="D25" s="9" t="s">
        <v>505</v>
      </c>
      <c r="E25" s="9" t="s">
        <v>506</v>
      </c>
      <c r="F25" s="9" t="s">
        <v>507</v>
      </c>
      <c r="G25" s="10" t="n">
        <v>5</v>
      </c>
      <c r="H25" s="10" t="n">
        <v>6</v>
      </c>
      <c r="I25" s="10" t="n">
        <v>8</v>
      </c>
      <c r="J25" s="10" t="n">
        <v>12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4</v>
      </c>
      <c r="R25" s="10" t="n">
        <v>6</v>
      </c>
      <c r="S25" s="10" t="n">
        <v>8</v>
      </c>
      <c r="T25" s="20" t="n">
        <f aca="false">Supuestos!$C$17</f>
        <v>0</v>
      </c>
      <c r="U25" s="9" t="s">
        <v>503</v>
      </c>
    </row>
    <row r="26" customFormat="false" ht="28.35" hidden="false" customHeight="false" outlineLevel="0" collapsed="false">
      <c r="A26" s="9" t="s">
        <v>508</v>
      </c>
      <c r="B26" s="9" t="s">
        <v>509</v>
      </c>
      <c r="C26" s="9" t="s">
        <v>435</v>
      </c>
      <c r="D26" s="9" t="s">
        <v>510</v>
      </c>
      <c r="E26" s="9" t="s">
        <v>511</v>
      </c>
      <c r="F26" s="9" t="s">
        <v>512</v>
      </c>
      <c r="G26" s="10" t="n">
        <v>5</v>
      </c>
      <c r="H26" s="10" t="n">
        <v>6</v>
      </c>
      <c r="I26" s="10" t="n">
        <v>8</v>
      </c>
      <c r="J26" s="10" t="n">
        <v>12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1</v>
      </c>
      <c r="U26" s="9" t="s">
        <v>513</v>
      </c>
    </row>
    <row r="27" customFormat="false" ht="28.35" hidden="false" customHeight="false" outlineLevel="0" collapsed="false">
      <c r="A27" s="9" t="s">
        <v>514</v>
      </c>
      <c r="B27" s="9" t="s">
        <v>509</v>
      </c>
      <c r="C27" s="9" t="s">
        <v>435</v>
      </c>
      <c r="D27" s="9" t="s">
        <v>515</v>
      </c>
      <c r="E27" s="9" t="s">
        <v>516</v>
      </c>
      <c r="F27" s="9" t="s">
        <v>517</v>
      </c>
      <c r="G27" s="10" t="n">
        <v>3</v>
      </c>
      <c r="H27" s="10" t="n">
        <v>2</v>
      </c>
      <c r="I27" s="10" t="n">
        <v>4</v>
      </c>
      <c r="J27" s="10" t="n">
        <v>6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1</v>
      </c>
      <c r="U27" s="9" t="s">
        <v>518</v>
      </c>
    </row>
    <row r="28" customFormat="false" ht="15" hidden="false" customHeight="false" outlineLevel="0" collapsed="false">
      <c r="A28" s="9" t="s">
        <v>519</v>
      </c>
      <c r="B28" s="9" t="s">
        <v>509</v>
      </c>
      <c r="C28" s="9" t="s">
        <v>478</v>
      </c>
      <c r="D28" s="9" t="s">
        <v>520</v>
      </c>
      <c r="E28" s="9" t="s">
        <v>521</v>
      </c>
      <c r="F28" s="9" t="s">
        <v>522</v>
      </c>
      <c r="G28" s="10" t="n">
        <v>2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1</v>
      </c>
      <c r="O28" s="10" t="n">
        <v>2</v>
      </c>
      <c r="P28" s="10" t="n">
        <v>3</v>
      </c>
      <c r="Q28" s="10" t="n">
        <v>0</v>
      </c>
      <c r="R28" s="10" t="n">
        <v>0</v>
      </c>
      <c r="S28" s="10" t="n">
        <v>0</v>
      </c>
      <c r="T28" s="10" t="n">
        <v>1</v>
      </c>
      <c r="U28" s="9"/>
    </row>
    <row r="29" customFormat="false" ht="28.35" hidden="false" customHeight="false" outlineLevel="0" collapsed="false">
      <c r="A29" s="9" t="s">
        <v>523</v>
      </c>
      <c r="B29" s="9" t="s">
        <v>524</v>
      </c>
      <c r="C29" s="9" t="s">
        <v>435</v>
      </c>
      <c r="D29" s="9" t="s">
        <v>525</v>
      </c>
      <c r="E29" s="9" t="s">
        <v>526</v>
      </c>
      <c r="F29" s="9" t="s">
        <v>527</v>
      </c>
      <c r="G29" s="10" t="n">
        <v>3</v>
      </c>
      <c r="H29" s="10" t="n">
        <v>6</v>
      </c>
      <c r="I29" s="10" t="n">
        <v>10</v>
      </c>
      <c r="J29" s="10" t="n">
        <v>14</v>
      </c>
      <c r="K29" s="10" t="n">
        <v>0</v>
      </c>
      <c r="L29" s="10" t="n">
        <v>0</v>
      </c>
      <c r="M29" s="10" t="n">
        <v>0</v>
      </c>
      <c r="N29" s="10" t="n">
        <v>1</v>
      </c>
      <c r="O29" s="10" t="n">
        <v>2</v>
      </c>
      <c r="P29" s="10" t="n">
        <v>3</v>
      </c>
      <c r="Q29" s="10" t="n">
        <v>0</v>
      </c>
      <c r="R29" s="10" t="n">
        <v>0</v>
      </c>
      <c r="S29" s="10" t="n">
        <v>0</v>
      </c>
      <c r="T29" s="10" t="n">
        <v>1</v>
      </c>
      <c r="U29" s="9" t="s">
        <v>528</v>
      </c>
    </row>
    <row r="30" customFormat="false" ht="28.35" hidden="false" customHeight="false" outlineLevel="0" collapsed="false">
      <c r="A30" s="9" t="s">
        <v>529</v>
      </c>
      <c r="B30" s="9" t="s">
        <v>530</v>
      </c>
      <c r="C30" s="9" t="s">
        <v>435</v>
      </c>
      <c r="D30" s="9" t="s">
        <v>531</v>
      </c>
      <c r="E30" s="9" t="s">
        <v>532</v>
      </c>
      <c r="F30" s="9" t="s">
        <v>533</v>
      </c>
      <c r="G30" s="10" t="n">
        <v>2</v>
      </c>
      <c r="H30" s="10" t="n">
        <v>4</v>
      </c>
      <c r="I30" s="10" t="n">
        <v>6</v>
      </c>
      <c r="J30" s="10" t="n">
        <v>8</v>
      </c>
      <c r="K30" s="10" t="n">
        <v>1</v>
      </c>
      <c r="L30" s="10" t="n">
        <v>2</v>
      </c>
      <c r="M30" s="10" t="n">
        <v>3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1</v>
      </c>
      <c r="U30" s="9" t="s">
        <v>534</v>
      </c>
    </row>
    <row r="31" customFormat="false" ht="28.35" hidden="false" customHeight="false" outlineLevel="0" collapsed="false">
      <c r="A31" s="9" t="s">
        <v>535</v>
      </c>
      <c r="B31" s="9" t="s">
        <v>530</v>
      </c>
      <c r="C31" s="9" t="s">
        <v>478</v>
      </c>
      <c r="D31" s="9" t="s">
        <v>536</v>
      </c>
      <c r="E31" s="9" t="s">
        <v>537</v>
      </c>
      <c r="F31" s="9" t="s">
        <v>538</v>
      </c>
      <c r="G31" s="10" t="n">
        <v>2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1</v>
      </c>
      <c r="O31" s="10" t="n">
        <v>2</v>
      </c>
      <c r="P31" s="10" t="n">
        <v>3</v>
      </c>
      <c r="Q31" s="10" t="n">
        <v>0</v>
      </c>
      <c r="R31" s="10" t="n">
        <v>0</v>
      </c>
      <c r="S31" s="10" t="n">
        <v>0</v>
      </c>
      <c r="T31" s="10" t="n">
        <v>1</v>
      </c>
      <c r="U31" s="9" t="s">
        <v>534</v>
      </c>
    </row>
    <row r="32" customFormat="false" ht="28.35" hidden="false" customHeight="false" outlineLevel="0" collapsed="false">
      <c r="A32" s="9" t="s">
        <v>539</v>
      </c>
      <c r="B32" s="9" t="s">
        <v>411</v>
      </c>
      <c r="C32" s="9" t="s">
        <v>435</v>
      </c>
      <c r="D32" s="9" t="s">
        <v>540</v>
      </c>
      <c r="E32" s="9" t="s">
        <v>541</v>
      </c>
      <c r="F32" s="9" t="s">
        <v>542</v>
      </c>
      <c r="G32" s="10" t="n">
        <v>2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2</v>
      </c>
      <c r="R32" s="10" t="n">
        <v>4</v>
      </c>
      <c r="S32" s="10" t="n">
        <v>6</v>
      </c>
      <c r="T32" s="10" t="n">
        <v>1</v>
      </c>
      <c r="U32" s="9" t="s">
        <v>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" t="s">
        <v>544</v>
      </c>
    </row>
    <row r="2" customFormat="false" ht="15" hidden="false" customHeight="false" outlineLevel="0" collapsed="false">
      <c r="A2" s="2" t="s">
        <v>545</v>
      </c>
    </row>
    <row r="4" customFormat="false" ht="15" hidden="false" customHeight="false" outlineLevel="0" collapsed="false">
      <c r="A4" s="8" t="s">
        <v>546</v>
      </c>
      <c r="B4" s="8" t="s">
        <v>547</v>
      </c>
      <c r="C4" s="8" t="s">
        <v>548</v>
      </c>
      <c r="D4" s="8" t="s">
        <v>549</v>
      </c>
      <c r="E4" s="8" t="s">
        <v>550</v>
      </c>
      <c r="F4" s="8" t="s">
        <v>551</v>
      </c>
      <c r="G4" s="8" t="s">
        <v>552</v>
      </c>
    </row>
    <row r="5" customFormat="false" ht="15" hidden="false" customHeight="false" outlineLevel="0" collapsed="false">
      <c r="A5" s="9" t="s">
        <v>553</v>
      </c>
      <c r="B5" s="24" t="n">
        <v>1</v>
      </c>
      <c r="C5" s="10" t="n">
        <v>4</v>
      </c>
      <c r="D5" s="10" t="n">
        <v>3</v>
      </c>
      <c r="E5" s="10" t="n">
        <v>3</v>
      </c>
      <c r="F5" s="10" t="n">
        <v>2</v>
      </c>
      <c r="G5" s="9" t="s">
        <v>554</v>
      </c>
    </row>
    <row r="6" customFormat="false" ht="15" hidden="false" customHeight="false" outlineLevel="0" collapsed="false">
      <c r="A6" s="9" t="s">
        <v>555</v>
      </c>
      <c r="B6" s="24" t="n">
        <v>1</v>
      </c>
      <c r="C6" s="10" t="n">
        <v>4</v>
      </c>
      <c r="D6" s="10" t="n">
        <v>5</v>
      </c>
      <c r="E6" s="10" t="n">
        <v>4</v>
      </c>
      <c r="F6" s="10" t="n">
        <v>4</v>
      </c>
      <c r="G6" s="9" t="s">
        <v>556</v>
      </c>
    </row>
    <row r="7" customFormat="false" ht="15" hidden="false" customHeight="false" outlineLevel="0" collapsed="false">
      <c r="A7" s="9" t="s">
        <v>557</v>
      </c>
      <c r="B7" s="24" t="n">
        <v>1</v>
      </c>
      <c r="C7" s="10" t="n">
        <v>4</v>
      </c>
      <c r="D7" s="10" t="n">
        <v>5</v>
      </c>
      <c r="E7" s="10" t="n">
        <v>5</v>
      </c>
      <c r="F7" s="10" t="n">
        <v>4</v>
      </c>
      <c r="G7" s="9" t="s">
        <v>558</v>
      </c>
    </row>
    <row r="8" customFormat="false" ht="15" hidden="false" customHeight="false" outlineLevel="0" collapsed="false">
      <c r="A8" s="9" t="s">
        <v>559</v>
      </c>
      <c r="B8" s="24" t="n">
        <v>1</v>
      </c>
      <c r="C8" s="10" t="n">
        <v>3</v>
      </c>
      <c r="D8" s="10" t="n">
        <v>2</v>
      </c>
      <c r="E8" s="10" t="n">
        <v>3</v>
      </c>
      <c r="F8" s="10" t="n">
        <v>3</v>
      </c>
      <c r="G8" s="9" t="s">
        <v>560</v>
      </c>
    </row>
    <row r="9" customFormat="false" ht="15" hidden="false" customHeight="false" outlineLevel="0" collapsed="false">
      <c r="A9" s="9" t="s">
        <v>561</v>
      </c>
      <c r="B9" s="24" t="n">
        <v>1</v>
      </c>
      <c r="C9" s="10" t="n">
        <v>5</v>
      </c>
      <c r="D9" s="10" t="n">
        <v>3</v>
      </c>
      <c r="E9" s="10" t="n">
        <v>3</v>
      </c>
      <c r="F9" s="10" t="n">
        <v>2</v>
      </c>
      <c r="G9" s="9" t="s">
        <v>562</v>
      </c>
    </row>
    <row r="10" customFormat="false" ht="15" hidden="false" customHeight="false" outlineLevel="0" collapsed="false">
      <c r="A10" s="25" t="s">
        <v>563</v>
      </c>
      <c r="B10" s="9"/>
      <c r="C10" s="25" t="n">
        <f aca="false">SUMPRODUCT($B$5:$B$9,C5:C9)</f>
        <v>20</v>
      </c>
      <c r="D10" s="25" t="n">
        <f aca="false">SUMPRODUCT($B$5:$B$9,D5:D9)</f>
        <v>18</v>
      </c>
      <c r="E10" s="25" t="n">
        <f aca="false">SUMPRODUCT($B$5:$B$9,E5:E9)</f>
        <v>18</v>
      </c>
      <c r="F10" s="25" t="n">
        <f aca="false">SUMPRODUCT($B$5:$B$9,F5:F9)</f>
        <v>15</v>
      </c>
      <c r="G10" s="9"/>
    </row>
    <row r="11" customFormat="false" ht="15" hidden="false" customHeight="false" outlineLevel="0" collapsed="false">
      <c r="A11" s="25" t="s">
        <v>564</v>
      </c>
      <c r="B11" s="9"/>
      <c r="C11" s="13" t="n">
        <f aca="false">INDEX(Capacidad!$C$20:$C$23,MATCH("IA-01",Capacidad!$A$20:$A$23,0))</f>
        <v>142</v>
      </c>
      <c r="D11" s="13" t="n">
        <f aca="false">INDEX(Capacidad!$C$20:$C$23,MATCH("IA-02",Capacidad!$A$20:$A$23,0))</f>
        <v>12</v>
      </c>
      <c r="E11" s="13" t="n">
        <f aca="false">INDEX(Capacidad!$C$20:$C$23,MATCH("IA-05",Capacidad!$A$20:$A$23,0))</f>
        <v>12</v>
      </c>
      <c r="F11" s="13" t="n">
        <f aca="false">INDEX(Capacidad!$C$20:$C$23,MATCH("IA-04",Capacidad!$A$20:$A$23,0))</f>
        <v>0</v>
      </c>
      <c r="G11" s="9"/>
    </row>
    <row r="12" customFormat="false" ht="28.35" hidden="false" customHeight="false" outlineLevel="0" collapsed="false">
      <c r="A12" s="25" t="s">
        <v>565</v>
      </c>
      <c r="B12" s="9"/>
      <c r="C12" s="9" t="s">
        <v>566</v>
      </c>
      <c r="D12" s="9" t="s">
        <v>567</v>
      </c>
      <c r="E12" s="9" t="s">
        <v>568</v>
      </c>
      <c r="F12" s="9" t="s">
        <v>569</v>
      </c>
      <c r="G12" s="9"/>
    </row>
    <row r="14" customFormat="false" ht="15" hidden="false" customHeight="false" outlineLevel="0" collapsed="false">
      <c r="A14" s="2" t="s">
        <v>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5" min="3" style="0" width="13"/>
    <col collapsed="false" customWidth="true" hidden="false" outlineLevel="0" max="6" min="6" style="0" width="11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571</v>
      </c>
    </row>
    <row r="2" customFormat="false" ht="15" hidden="false" customHeight="false" outlineLevel="0" collapsed="false">
      <c r="A2" s="2" t="s">
        <v>572</v>
      </c>
    </row>
    <row r="4" customFormat="false" ht="26.85" hidden="false" customHeight="false" outlineLevel="0" collapsed="false">
      <c r="A4" s="8" t="s">
        <v>546</v>
      </c>
      <c r="B4" s="8" t="s">
        <v>547</v>
      </c>
      <c r="C4" s="8" t="s">
        <v>573</v>
      </c>
      <c r="D4" s="8" t="s">
        <v>574</v>
      </c>
      <c r="E4" s="8" t="s">
        <v>575</v>
      </c>
      <c r="F4" s="8" t="s">
        <v>576</v>
      </c>
      <c r="G4" s="8" t="s">
        <v>577</v>
      </c>
    </row>
    <row r="5" customFormat="false" ht="15" hidden="false" customHeight="false" outlineLevel="0" collapsed="false">
      <c r="A5" s="9" t="s">
        <v>42</v>
      </c>
      <c r="B5" s="26" t="n">
        <v>0.3</v>
      </c>
      <c r="C5" s="10" t="n">
        <v>4</v>
      </c>
      <c r="D5" s="10" t="n">
        <v>3</v>
      </c>
      <c r="E5" s="10" t="n">
        <v>4</v>
      </c>
      <c r="F5" s="10" t="n">
        <v>2</v>
      </c>
      <c r="G5" s="9" t="s">
        <v>578</v>
      </c>
    </row>
    <row r="6" customFormat="false" ht="15" hidden="false" customHeight="false" outlineLevel="0" collapsed="false">
      <c r="A6" s="9" t="s">
        <v>579</v>
      </c>
      <c r="B6" s="26" t="n">
        <v>0.15</v>
      </c>
      <c r="C6" s="10" t="n">
        <v>4</v>
      </c>
      <c r="D6" s="10" t="n">
        <v>1</v>
      </c>
      <c r="E6" s="10" t="n">
        <v>3</v>
      </c>
      <c r="F6" s="10" t="n">
        <v>4</v>
      </c>
      <c r="G6" s="9" t="s">
        <v>580</v>
      </c>
    </row>
    <row r="7" customFormat="false" ht="15" hidden="false" customHeight="false" outlineLevel="0" collapsed="false">
      <c r="A7" s="9" t="s">
        <v>581</v>
      </c>
      <c r="B7" s="26" t="n">
        <v>0.15</v>
      </c>
      <c r="C7" s="10" t="n">
        <v>3</v>
      </c>
      <c r="D7" s="10" t="n">
        <v>4</v>
      </c>
      <c r="E7" s="10" t="n">
        <v>4</v>
      </c>
      <c r="F7" s="10" t="n">
        <v>5</v>
      </c>
      <c r="G7" s="9" t="s">
        <v>582</v>
      </c>
    </row>
    <row r="8" customFormat="false" ht="15" hidden="false" customHeight="false" outlineLevel="0" collapsed="false">
      <c r="A8" s="9" t="s">
        <v>12</v>
      </c>
      <c r="B8" s="26" t="n">
        <v>0.15</v>
      </c>
      <c r="C8" s="10" t="n">
        <v>4</v>
      </c>
      <c r="D8" s="10" t="n">
        <v>3</v>
      </c>
      <c r="E8" s="10" t="n">
        <v>4</v>
      </c>
      <c r="F8" s="10" t="n">
        <v>4</v>
      </c>
      <c r="G8" s="9" t="s">
        <v>583</v>
      </c>
    </row>
    <row r="9" customFormat="false" ht="15" hidden="false" customHeight="false" outlineLevel="0" collapsed="false">
      <c r="A9" s="9" t="s">
        <v>584</v>
      </c>
      <c r="B9" s="26" t="n">
        <v>0.15</v>
      </c>
      <c r="C9" s="10" t="n">
        <v>3</v>
      </c>
      <c r="D9" s="10" t="n">
        <v>3</v>
      </c>
      <c r="E9" s="10" t="n">
        <v>4</v>
      </c>
      <c r="F9" s="10" t="n">
        <v>5</v>
      </c>
      <c r="G9" s="9" t="s">
        <v>585</v>
      </c>
    </row>
    <row r="10" customFormat="false" ht="15" hidden="false" customHeight="false" outlineLevel="0" collapsed="false">
      <c r="A10" s="9" t="s">
        <v>586</v>
      </c>
      <c r="B10" s="26" t="n">
        <v>0.1</v>
      </c>
      <c r="C10" s="10" t="n">
        <v>3</v>
      </c>
      <c r="D10" s="10" t="n">
        <v>4</v>
      </c>
      <c r="E10" s="10" t="n">
        <v>4</v>
      </c>
      <c r="F10" s="10" t="n">
        <v>4</v>
      </c>
      <c r="G10" s="9" t="s">
        <v>587</v>
      </c>
    </row>
    <row r="11" customFormat="false" ht="15" hidden="false" customHeight="false" outlineLevel="0" collapsed="false">
      <c r="A11" s="25" t="s">
        <v>563</v>
      </c>
      <c r="B11" s="27" t="n">
        <f aca="false">SUM(B5:B10)</f>
        <v>1</v>
      </c>
      <c r="C11" s="28" t="n">
        <f aca="false">SUMPRODUCT($B$5:$B$10,C5:C10)</f>
        <v>3.6</v>
      </c>
      <c r="D11" s="28" t="n">
        <f aca="false">SUMPRODUCT($B$5:$B$10,D5:D10)</f>
        <v>2.95</v>
      </c>
      <c r="E11" s="28" t="n">
        <f aca="false">SUMPRODUCT($B$5:$B$10,E5:E10)</f>
        <v>3.85</v>
      </c>
      <c r="F11" s="28" t="n">
        <f aca="false">SUMPRODUCT($B$5:$B$10,F5:F10)</f>
        <v>3.7</v>
      </c>
      <c r="G11" s="9"/>
    </row>
    <row r="12" customFormat="false" ht="15" hidden="false" customHeight="false" outlineLevel="0" collapsed="false">
      <c r="A12" s="25" t="s">
        <v>588</v>
      </c>
      <c r="B12" s="9"/>
      <c r="C12" s="9" t="str">
        <f aca="false">INDEX($C$4:$F$4,MATCH(MAX($C$11:$F$11),$C$11:$F$11,0))</f>
        <v>C. Componer</v>
      </c>
      <c r="D12" s="9"/>
      <c r="E12" s="9"/>
      <c r="F12" s="9"/>
      <c r="G12" s="9"/>
    </row>
    <row r="14" customFormat="false" ht="15" hidden="false" customHeight="false" outlineLevel="0" collapsed="false">
      <c r="A14" s="2" t="s">
        <v>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590</v>
      </c>
    </row>
    <row r="2" customFormat="false" ht="15" hidden="false" customHeight="false" outlineLevel="0" collapsed="false">
      <c r="A2" s="2" t="s">
        <v>591</v>
      </c>
    </row>
    <row r="4" customFormat="false" ht="26.85" hidden="false" customHeight="false" outlineLevel="0" collapsed="false">
      <c r="A4" s="8" t="s">
        <v>327</v>
      </c>
      <c r="B4" s="8" t="s">
        <v>337</v>
      </c>
      <c r="C4" s="8" t="s">
        <v>592</v>
      </c>
      <c r="D4" s="8" t="s">
        <v>593</v>
      </c>
      <c r="E4" s="8" t="s">
        <v>594</v>
      </c>
      <c r="F4" s="8" t="s">
        <v>595</v>
      </c>
    </row>
    <row r="5" customFormat="false" ht="15" hidden="false" customHeight="false" outlineLevel="0" collapsed="false">
      <c r="A5" s="25" t="s">
        <v>596</v>
      </c>
      <c r="B5" s="9" t="s">
        <v>597</v>
      </c>
      <c r="C5" s="13" t="n">
        <f aca="false">SUMPRODUCT(PBIs!$H$5:$H$32,PBIs!$T$5:$T$32)</f>
        <v>126</v>
      </c>
      <c r="D5" s="13" t="n">
        <f aca="false">SUMPRODUCT(PBIs!$K$5:$K$32,PBIs!$T$5:$T$32)</f>
        <v>23</v>
      </c>
      <c r="E5" s="13" t="n">
        <f aca="false">SUMPRODUCT(PBIs!$N$5:$N$32,PBIs!$T$5:$T$32)</f>
        <v>7</v>
      </c>
      <c r="F5" s="13" t="n">
        <f aca="false">SUMPRODUCT(PBIs!$Q$5:$Q$32,PBIs!$T$5:$T$32)</f>
        <v>12</v>
      </c>
    </row>
    <row r="6" customFormat="false" ht="15" hidden="false" customHeight="false" outlineLevel="0" collapsed="false">
      <c r="A6" s="25" t="s">
        <v>596</v>
      </c>
      <c r="B6" s="9" t="s">
        <v>598</v>
      </c>
      <c r="C6" s="13" t="n">
        <f aca="false">SUMPRODUCT(PBIs!$I$5:$I$32,PBIs!$T$5:$T$32)</f>
        <v>182</v>
      </c>
      <c r="D6" s="13" t="n">
        <f aca="false">SUMPRODUCT(PBIs!$L$5:$L$32,PBIs!$T$5:$T$32)</f>
        <v>35</v>
      </c>
      <c r="E6" s="13" t="n">
        <f aca="false">SUMPRODUCT(PBIs!$O$5:$O$32,PBIs!$T$5:$T$32)</f>
        <v>12</v>
      </c>
      <c r="F6" s="13" t="n">
        <f aca="false">SUMPRODUCT(PBIs!$R$5:$R$32,PBIs!$T$5:$T$32)</f>
        <v>20</v>
      </c>
    </row>
    <row r="7" customFormat="false" ht="15" hidden="false" customHeight="false" outlineLevel="0" collapsed="false">
      <c r="A7" s="25" t="s">
        <v>596</v>
      </c>
      <c r="B7" s="9" t="s">
        <v>599</v>
      </c>
      <c r="C7" s="13" t="n">
        <f aca="false">SUMPRODUCT(PBIs!$J$5:$J$32,PBIs!$T$5:$T$32)</f>
        <v>257</v>
      </c>
      <c r="D7" s="13" t="n">
        <f aca="false">SUMPRODUCT(PBIs!$M$5:$M$32,PBIs!$T$5:$T$32)</f>
        <v>51</v>
      </c>
      <c r="E7" s="13" t="n">
        <f aca="false">SUMPRODUCT(PBIs!$P$5:$P$32,PBIs!$T$5:$T$32)</f>
        <v>18</v>
      </c>
      <c r="F7" s="13" t="n">
        <f aca="false">SUMPRODUCT(PBIs!$S$5:$S$32,PBIs!$T$5:$T$32)</f>
        <v>28</v>
      </c>
    </row>
    <row r="8" customFormat="false" ht="15" hidden="false" customHeight="false" outlineLevel="0" collapsed="false">
      <c r="A8" s="25" t="s">
        <v>600</v>
      </c>
      <c r="B8" s="9"/>
      <c r="C8" s="23" t="n">
        <f aca="false">Datos!$C$27</f>
        <v>240</v>
      </c>
      <c r="D8" s="23" t="n">
        <f aca="false">Datos!$C$28</f>
        <v>35</v>
      </c>
      <c r="E8" s="23" t="n">
        <f aca="false">Datos!$C$29</f>
        <v>12</v>
      </c>
      <c r="F8" s="23" t="n">
        <f aca="false">Datos!$C$30</f>
        <v>20</v>
      </c>
    </row>
    <row r="9" customFormat="false" ht="15" hidden="false" customHeight="false" outlineLevel="0" collapsed="false">
      <c r="A9" s="25" t="s">
        <v>601</v>
      </c>
      <c r="B9" s="9" t="s">
        <v>597</v>
      </c>
      <c r="C9" s="29" t="n">
        <f aca="false">C$8-C5</f>
        <v>114</v>
      </c>
      <c r="D9" s="29" t="n">
        <f aca="false">D$8-D5</f>
        <v>12</v>
      </c>
      <c r="E9" s="29" t="n">
        <f aca="false">E$8-E5</f>
        <v>5</v>
      </c>
      <c r="F9" s="29" t="n">
        <f aca="false">F$8-F5</f>
        <v>8</v>
      </c>
    </row>
    <row r="10" customFormat="false" ht="15" hidden="false" customHeight="false" outlineLevel="0" collapsed="false">
      <c r="A10" s="25" t="s">
        <v>601</v>
      </c>
      <c r="B10" s="9" t="s">
        <v>598</v>
      </c>
      <c r="C10" s="29" t="n">
        <f aca="false">C$8-C6</f>
        <v>58</v>
      </c>
      <c r="D10" s="29" t="n">
        <f aca="false">D$8-D6</f>
        <v>0</v>
      </c>
      <c r="E10" s="29" t="n">
        <f aca="false">E$8-E6</f>
        <v>0</v>
      </c>
      <c r="F10" s="29" t="n">
        <f aca="false">F$8-F6</f>
        <v>0</v>
      </c>
    </row>
    <row r="11" customFormat="false" ht="15" hidden="false" customHeight="false" outlineLevel="0" collapsed="false">
      <c r="A11" s="25" t="s">
        <v>601</v>
      </c>
      <c r="B11" s="9" t="s">
        <v>599</v>
      </c>
      <c r="C11" s="29" t="n">
        <f aca="false">C$8-C7</f>
        <v>-17</v>
      </c>
      <c r="D11" s="29" t="n">
        <f aca="false">D$8-D7</f>
        <v>-16</v>
      </c>
      <c r="E11" s="29" t="n">
        <f aca="false">E$8-E7</f>
        <v>-6</v>
      </c>
      <c r="F11" s="29" t="n">
        <f aca="false">F$8-F7</f>
        <v>-8</v>
      </c>
    </row>
    <row r="12" customFormat="false" ht="15" hidden="false" customHeight="false" outlineLevel="0" collapsed="false">
      <c r="A12" s="25" t="s">
        <v>602</v>
      </c>
      <c r="B12" s="9" t="s">
        <v>597</v>
      </c>
      <c r="C12" s="9" t="str">
        <f aca="false">IF(C5&lt;=C$8,"Cabe","EXCEDE")</f>
        <v>Cabe</v>
      </c>
      <c r="D12" s="9" t="str">
        <f aca="false">IF(D5&lt;=D$8,"Cabe","EXCEDE")</f>
        <v>Cabe</v>
      </c>
      <c r="E12" s="9" t="str">
        <f aca="false">IF(E5&lt;=E$8,"Cabe","EXCEDE")</f>
        <v>Cabe</v>
      </c>
      <c r="F12" s="9" t="str">
        <f aca="false">IF(F5&lt;=F$8,"Cabe","EXCEDE")</f>
        <v>Cabe</v>
      </c>
    </row>
    <row r="13" customFormat="false" ht="15" hidden="false" customHeight="false" outlineLevel="0" collapsed="false">
      <c r="A13" s="25" t="s">
        <v>602</v>
      </c>
      <c r="B13" s="9" t="s">
        <v>598</v>
      </c>
      <c r="C13" s="9" t="str">
        <f aca="false">IF(C6&lt;=C$8,"Cabe","EXCEDE")</f>
        <v>Cabe</v>
      </c>
      <c r="D13" s="9" t="str">
        <f aca="false">IF(D6&lt;=D$8,"Cabe","EXCEDE")</f>
        <v>Cabe</v>
      </c>
      <c r="E13" s="9" t="str">
        <f aca="false">IF(E6&lt;=E$8,"Cabe","EXCEDE")</f>
        <v>Cabe</v>
      </c>
      <c r="F13" s="9" t="str">
        <f aca="false">IF(F6&lt;=F$8,"Cabe","EXCEDE")</f>
        <v>Cabe</v>
      </c>
    </row>
    <row r="14" customFormat="false" ht="15" hidden="false" customHeight="false" outlineLevel="0" collapsed="false">
      <c r="A14" s="25" t="s">
        <v>602</v>
      </c>
      <c r="B14" s="9" t="s">
        <v>599</v>
      </c>
      <c r="C14" s="9" t="str">
        <f aca="false">IF(C7&lt;=C$8,"Cabe","EXCEDE")</f>
        <v>EXCEDE</v>
      </c>
      <c r="D14" s="9" t="str">
        <f aca="false">IF(D7&lt;=D$8,"Cabe","EXCEDE")</f>
        <v>EXCEDE</v>
      </c>
      <c r="E14" s="9" t="str">
        <f aca="false">IF(E7&lt;=E$8,"Cabe","EXCEDE")</f>
        <v>EXCEDE</v>
      </c>
      <c r="F14" s="9" t="str">
        <f aca="false">IF(F7&lt;=F$8,"Cabe","EXCEDE")</f>
        <v>EXCEDE</v>
      </c>
    </row>
    <row r="16" customFormat="false" ht="26.85" hidden="false" customHeight="false" outlineLevel="0" collapsed="false">
      <c r="A16" s="25" t="s">
        <v>603</v>
      </c>
      <c r="B16" s="9"/>
      <c r="C16" s="9" t="str">
        <f aca="false">IF(C10&gt;=Supuestos!$C$18,"Reserva OK","Sin reserva suficiente")</f>
        <v>Reserva OK</v>
      </c>
      <c r="D16" s="9"/>
      <c r="E16" s="9"/>
      <c r="F16" s="9"/>
    </row>
    <row r="18" customFormat="false" ht="15" hidden="false" customHeight="false" outlineLevel="0" collapsed="false">
      <c r="A18" s="3" t="s">
        <v>604</v>
      </c>
    </row>
    <row r="19" customFormat="false" ht="26.85" hidden="false" customHeight="false" outlineLevel="0" collapsed="false">
      <c r="A19" s="8" t="s">
        <v>390</v>
      </c>
      <c r="B19" s="8"/>
      <c r="C19" s="8" t="s">
        <v>592</v>
      </c>
      <c r="D19" s="8" t="s">
        <v>593</v>
      </c>
      <c r="E19" s="8" t="s">
        <v>594</v>
      </c>
      <c r="F19" s="8" t="s">
        <v>595</v>
      </c>
      <c r="G19" s="8" t="s">
        <v>605</v>
      </c>
      <c r="H19" s="8" t="s">
        <v>606</v>
      </c>
    </row>
    <row r="20" customFormat="false" ht="15" hidden="false" customHeight="false" outlineLevel="0" collapsed="false">
      <c r="A20" s="9" t="s">
        <v>411</v>
      </c>
      <c r="B20" s="9"/>
      <c r="C20" s="13" t="n">
        <f aca="false">SUMPRODUCT((PBIs!$B$5:$B$32="IA-01")*PBIs!$I$5:$I$32*PBIs!$T$5:$T$32)</f>
        <v>142</v>
      </c>
      <c r="D20" s="13" t="n">
        <f aca="false">SUMPRODUCT((PBIs!$B$5:$B$32="IA-01")*PBIs!$L$5:$L$32*PBIs!$T$5:$T$32)</f>
        <v>27</v>
      </c>
      <c r="E20" s="13" t="n">
        <f aca="false">SUMPRODUCT((PBIs!$B$5:$B$32="IA-01")*PBIs!$O$5:$O$32*PBIs!$T$5:$T$32)</f>
        <v>6</v>
      </c>
      <c r="F20" s="13" t="n">
        <f aca="false">SUMPRODUCT((PBIs!$B$5:$B$32="IA-01")*PBIs!$R$5:$R$32*PBIs!$T$5:$T$32)</f>
        <v>18</v>
      </c>
      <c r="G20" s="13" t="n">
        <f aca="false">C20*Datos!$C$31+D20*Datos!$C$32+E20*Datos!$C$33</f>
        <v>17925000</v>
      </c>
      <c r="H20" s="13" t="n">
        <f aca="false">SUMPRODUCT((PBIs!$B$5:$B$32="IA-01")*PBIs!$J$5:$J$32*PBIs!$T$5:$T$32)</f>
        <v>199</v>
      </c>
    </row>
    <row r="21" customFormat="false" ht="15" hidden="false" customHeight="false" outlineLevel="0" collapsed="false">
      <c r="A21" s="9" t="s">
        <v>488</v>
      </c>
      <c r="B21" s="9"/>
      <c r="C21" s="13" t="n">
        <f aca="false">SUMPRODUCT((PBIs!$B$5:$B$32="IA-02")*PBIs!$I$5:$I$32*PBIs!$T$5:$T$32)</f>
        <v>12</v>
      </c>
      <c r="D21" s="13" t="n">
        <f aca="false">SUMPRODUCT((PBIs!$B$5:$B$32="IA-02")*PBIs!$L$5:$L$32*PBIs!$T$5:$T$32)</f>
        <v>6</v>
      </c>
      <c r="E21" s="13" t="n">
        <f aca="false">SUMPRODUCT((PBIs!$B$5:$B$32="IA-02")*PBIs!$O$5:$O$32*PBIs!$T$5:$T$32)</f>
        <v>0</v>
      </c>
      <c r="F21" s="13" t="n">
        <f aca="false">SUMPRODUCT((PBIs!$B$5:$B$32="IA-02")*PBIs!$R$5:$R$32*PBIs!$T$5:$T$32)</f>
        <v>2</v>
      </c>
      <c r="G21" s="13" t="n">
        <f aca="false">C21*Datos!$C$31+D21*Datos!$C$32+E21*Datos!$C$33</f>
        <v>1770000</v>
      </c>
      <c r="H21" s="13" t="n">
        <f aca="false">SUMPRODUCT((PBIs!$B$5:$B$32="IA-02")*PBIs!$J$5:$J$32*PBIs!$T$5:$T$32)</f>
        <v>18</v>
      </c>
    </row>
    <row r="22" customFormat="false" ht="15" hidden="false" customHeight="false" outlineLevel="0" collapsed="false">
      <c r="A22" s="9" t="s">
        <v>499</v>
      </c>
      <c r="B22" s="9"/>
      <c r="C22" s="13" t="n">
        <f aca="false">SUMPRODUCT((PBIs!$B$5:$B$32="IA-04")*PBIs!$I$5:$I$32*PBIs!$T$5:$T$32)</f>
        <v>0</v>
      </c>
      <c r="D22" s="13" t="n">
        <f aca="false">SUMPRODUCT((PBIs!$B$5:$B$32="IA-04")*PBIs!$L$5:$L$32*PBIs!$T$5:$T$32)</f>
        <v>0</v>
      </c>
      <c r="E22" s="13" t="n">
        <f aca="false">SUMPRODUCT((PBIs!$B$5:$B$32="IA-04")*PBIs!$O$5:$O$32*PBIs!$T$5:$T$32)</f>
        <v>0</v>
      </c>
      <c r="F22" s="13" t="n">
        <f aca="false">SUMPRODUCT((PBIs!$B$5:$B$32="IA-04")*PBIs!$R$5:$R$32*PBIs!$T$5:$T$32)</f>
        <v>0</v>
      </c>
      <c r="G22" s="13" t="n">
        <f aca="false">C22*Datos!$C$31+D22*Datos!$C$32+E22*Datos!$C$33</f>
        <v>0</v>
      </c>
      <c r="H22" s="13" t="n">
        <f aca="false">SUMPRODUCT((PBIs!$B$5:$B$32="IA-04")*PBIs!$J$5:$J$32*PBIs!$T$5:$T$32)</f>
        <v>0</v>
      </c>
    </row>
    <row r="23" customFormat="false" ht="15" hidden="false" customHeight="false" outlineLevel="0" collapsed="false">
      <c r="A23" s="9" t="s">
        <v>509</v>
      </c>
      <c r="B23" s="9"/>
      <c r="C23" s="13" t="n">
        <f aca="false">SUMPRODUCT((PBIs!$B$5:$B$32="IA-05")*PBIs!$I$5:$I$32*PBIs!$T$5:$T$32)</f>
        <v>12</v>
      </c>
      <c r="D23" s="13" t="n">
        <f aca="false">SUMPRODUCT((PBIs!$B$5:$B$32="IA-05")*PBIs!$L$5:$L$32*PBIs!$T$5:$T$32)</f>
        <v>0</v>
      </c>
      <c r="E23" s="13" t="n">
        <f aca="false">SUMPRODUCT((PBIs!$B$5:$B$32="IA-05")*PBIs!$O$5:$O$32*PBIs!$T$5:$T$32)</f>
        <v>2</v>
      </c>
      <c r="F23" s="13" t="n">
        <f aca="false">SUMPRODUCT((PBIs!$B$5:$B$32="IA-05")*PBIs!$R$5:$R$32*PBIs!$T$5:$T$32)</f>
        <v>0</v>
      </c>
      <c r="G23" s="13" t="n">
        <f aca="false">C23*Datos!$C$31+D23*Datos!$C$32+E23*Datos!$C$33</f>
        <v>1500000</v>
      </c>
      <c r="H23" s="13" t="n">
        <f aca="false">SUMPRODUCT((PBIs!$B$5:$B$32="IA-05")*PBIs!$J$5:$J$32*PBIs!$T$5:$T$32)</f>
        <v>18</v>
      </c>
    </row>
    <row r="24" customFormat="false" ht="15" hidden="false" customHeight="false" outlineLevel="0" collapsed="false">
      <c r="A24" s="9" t="s">
        <v>530</v>
      </c>
      <c r="B24" s="9"/>
      <c r="C24" s="13" t="n">
        <f aca="false">SUMPRODUCT((PBIs!$B$5:$B$32="EXT")*PBIs!$I$5:$I$32*PBIs!$T$5:$T$32)</f>
        <v>6</v>
      </c>
      <c r="D24" s="13" t="n">
        <f aca="false">SUMPRODUCT((PBIs!$B$5:$B$32="EXT")*PBIs!$L$5:$L$32*PBIs!$T$5:$T$32)</f>
        <v>2</v>
      </c>
      <c r="E24" s="13" t="n">
        <f aca="false">SUMPRODUCT((PBIs!$B$5:$B$32="EXT")*PBIs!$O$5:$O$32*PBIs!$T$5:$T$32)</f>
        <v>2</v>
      </c>
      <c r="F24" s="13" t="n">
        <f aca="false">SUMPRODUCT((PBIs!$B$5:$B$32="EXT")*PBIs!$R$5:$R$32*PBIs!$T$5:$T$32)</f>
        <v>0</v>
      </c>
      <c r="G24" s="13" t="n">
        <f aca="false">C24*Datos!$C$31+D24*Datos!$C$32+E24*Datos!$C$33</f>
        <v>1040000</v>
      </c>
      <c r="H24" s="13" t="n">
        <f aca="false">SUMPRODUCT((PBIs!$B$5:$B$32="EXT")*PBIs!$J$5:$J$32*PBIs!$T$5:$T$32)</f>
        <v>8</v>
      </c>
    </row>
    <row r="25" customFormat="false" ht="15" hidden="false" customHeight="false" outlineLevel="0" collapsed="false">
      <c r="A25" s="9" t="s">
        <v>524</v>
      </c>
      <c r="B25" s="9"/>
      <c r="C25" s="13" t="n">
        <f aca="false">SUMPRODUCT((PBIs!$B$5:$B$32="IA-09/10")*PBIs!$I$5:$I$32*PBIs!$T$5:$T$32)</f>
        <v>10</v>
      </c>
      <c r="D25" s="13" t="n">
        <f aca="false">SUMPRODUCT((PBIs!$B$5:$B$32="IA-09/10")*PBIs!$L$5:$L$32*PBIs!$T$5:$T$32)</f>
        <v>0</v>
      </c>
      <c r="E25" s="13" t="n">
        <f aca="false">SUMPRODUCT((PBIs!$B$5:$B$32="IA-09/10")*PBIs!$O$5:$O$32*PBIs!$T$5:$T$32)</f>
        <v>2</v>
      </c>
      <c r="F25" s="13" t="n">
        <f aca="false">SUMPRODUCT((PBIs!$B$5:$B$32="IA-09/10")*PBIs!$R$5:$R$32*PBIs!$T$5:$T$32)</f>
        <v>0</v>
      </c>
      <c r="G25" s="13" t="n">
        <f aca="false">C25*Datos!$C$31+D25*Datos!$C$32+E25*Datos!$C$33</f>
        <v>1290000</v>
      </c>
      <c r="H25" s="13" t="n">
        <f aca="false">SUMPRODUCT((PBIs!$B$5:$B$32="IA-09/10")*PBIs!$J$5:$J$32*PBIs!$T$5:$T$32)</f>
        <v>14</v>
      </c>
    </row>
    <row r="26" customFormat="false" ht="15" hidden="false" customHeight="false" outlineLevel="0" collapsed="false">
      <c r="A26" s="25" t="s">
        <v>607</v>
      </c>
      <c r="B26" s="9"/>
      <c r="C26" s="13" t="n">
        <f aca="false">SUM(C20:C25)</f>
        <v>182</v>
      </c>
      <c r="D26" s="13" t="n">
        <f aca="false">SUM(D20:D25)</f>
        <v>35</v>
      </c>
      <c r="E26" s="13" t="n">
        <f aca="false">SUM(E20:E25)</f>
        <v>12</v>
      </c>
      <c r="F26" s="13" t="n">
        <f aca="false">SUM(F20:F25)</f>
        <v>20</v>
      </c>
      <c r="G26" s="13" t="n">
        <f aca="false">SUM(G20:G25)</f>
        <v>23525000</v>
      </c>
      <c r="H26" s="13" t="n">
        <f aca="false">SUM(H20:H25)</f>
        <v>257</v>
      </c>
    </row>
    <row r="28" customFormat="false" ht="82.05" hidden="false" customHeight="false" outlineLevel="0" collapsed="false">
      <c r="A28" s="25" t="s">
        <v>608</v>
      </c>
      <c r="B28" s="9"/>
      <c r="C28" s="30" t="n">
        <f aca="false">Fondo_Externo!$F$10</f>
        <v>18600000</v>
      </c>
      <c r="D28" s="9" t="str">
        <f aca="false">IF(C28&lt;=Datos!$C$34,"Dentro del techo","EXCEDE techo")</f>
        <v>Dentro del techo</v>
      </c>
      <c r="E28" s="9"/>
      <c r="F28" s="9"/>
      <c r="G28" s="9"/>
      <c r="H28" s="9" t="s">
        <v>609</v>
      </c>
    </row>
    <row r="30" customFormat="false" ht="15" hidden="false" customHeight="false" outlineLevel="0" collapsed="false">
      <c r="A30" s="2" t="s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611</v>
      </c>
    </row>
    <row r="2" customFormat="false" ht="15" hidden="false" customHeight="false" outlineLevel="0" collapsed="false">
      <c r="A2" s="2" t="s">
        <v>612</v>
      </c>
    </row>
    <row r="4" customFormat="false" ht="15" hidden="false" customHeight="false" outlineLevel="0" collapsed="false">
      <c r="A4" s="8" t="s">
        <v>613</v>
      </c>
      <c r="B4" s="8" t="s">
        <v>614</v>
      </c>
      <c r="C4" s="8" t="s">
        <v>615</v>
      </c>
      <c r="D4" s="8" t="s">
        <v>616</v>
      </c>
      <c r="E4" s="8" t="s">
        <v>617</v>
      </c>
      <c r="F4" s="8" t="s">
        <v>618</v>
      </c>
      <c r="G4" s="8" t="s">
        <v>577</v>
      </c>
    </row>
    <row r="5" customFormat="false" ht="15" hidden="false" customHeight="false" outlineLevel="0" collapsed="false">
      <c r="A5" s="9" t="s">
        <v>619</v>
      </c>
      <c r="B5" s="20" t="n">
        <f aca="false">Supuestos!$C$40</f>
        <v>15</v>
      </c>
      <c r="C5" s="20" t="n">
        <f aca="false">Supuestos!$C$35</f>
        <v>120000</v>
      </c>
      <c r="D5" s="13" t="n">
        <f aca="false">B5*C5</f>
        <v>1800000</v>
      </c>
      <c r="E5" s="24" t="n">
        <v>1</v>
      </c>
      <c r="F5" s="13" t="n">
        <f aca="false">D5*E5</f>
        <v>1800000</v>
      </c>
      <c r="G5" s="9" t="s">
        <v>620</v>
      </c>
    </row>
    <row r="6" customFormat="false" ht="28.35" hidden="false" customHeight="false" outlineLevel="0" collapsed="false">
      <c r="A6" s="9" t="s">
        <v>621</v>
      </c>
      <c r="B6" s="20" t="n">
        <f aca="false">Supuestos!$C$37</f>
        <v>75</v>
      </c>
      <c r="C6" s="20" t="n">
        <f aca="false">Supuestos!$C$35</f>
        <v>120000</v>
      </c>
      <c r="D6" s="13" t="n">
        <f aca="false">B6*C6</f>
        <v>9000000</v>
      </c>
      <c r="E6" s="24" t="n">
        <v>1</v>
      </c>
      <c r="F6" s="13" t="n">
        <f aca="false">D6*E6</f>
        <v>9000000</v>
      </c>
      <c r="G6" s="9" t="s">
        <v>622</v>
      </c>
    </row>
    <row r="7" customFormat="false" ht="28.35" hidden="false" customHeight="false" outlineLevel="0" collapsed="false">
      <c r="A7" s="9" t="s">
        <v>623</v>
      </c>
      <c r="B7" s="20" t="n">
        <f aca="false">Supuestos!$C$38</f>
        <v>40</v>
      </c>
      <c r="C7" s="20" t="n">
        <f aca="false">Supuestos!$C$35</f>
        <v>120000</v>
      </c>
      <c r="D7" s="13" t="n">
        <f aca="false">B7*C7</f>
        <v>4800000</v>
      </c>
      <c r="E7" s="24" t="n">
        <v>1</v>
      </c>
      <c r="F7" s="13" t="n">
        <f aca="false">D7*E7</f>
        <v>4800000</v>
      </c>
      <c r="G7" s="9" t="s">
        <v>624</v>
      </c>
    </row>
    <row r="8" customFormat="false" ht="15" hidden="false" customHeight="false" outlineLevel="0" collapsed="false">
      <c r="A8" s="9" t="s">
        <v>625</v>
      </c>
      <c r="B8" s="9"/>
      <c r="C8" s="9"/>
      <c r="D8" s="20" t="n">
        <f aca="false">Supuestos!$C$39</f>
        <v>3000000</v>
      </c>
      <c r="E8" s="24" t="n">
        <v>1</v>
      </c>
      <c r="F8" s="13" t="n">
        <f aca="false">D8*E8</f>
        <v>3000000</v>
      </c>
      <c r="G8" s="9" t="s">
        <v>626</v>
      </c>
    </row>
    <row r="10" customFormat="false" ht="15" hidden="false" customHeight="false" outlineLevel="0" collapsed="false">
      <c r="A10" s="25" t="s">
        <v>627</v>
      </c>
      <c r="B10" s="9"/>
      <c r="C10" s="9"/>
      <c r="D10" s="9"/>
      <c r="E10" s="9"/>
      <c r="F10" s="13" t="n">
        <f aca="false">SUM(F5:F8)</f>
        <v>18600000</v>
      </c>
      <c r="G10" s="9"/>
    </row>
    <row r="11" customFormat="false" ht="15" hidden="false" customHeight="false" outlineLevel="0" collapsed="false">
      <c r="A11" s="25" t="s">
        <v>628</v>
      </c>
      <c r="B11" s="9"/>
      <c r="C11" s="9"/>
      <c r="D11" s="9"/>
      <c r="E11" s="9"/>
      <c r="F11" s="20" t="n">
        <f aca="false">Datos!$C$34</f>
        <v>30000000</v>
      </c>
      <c r="G11" s="9"/>
    </row>
    <row r="12" customFormat="false" ht="15" hidden="false" customHeight="false" outlineLevel="0" collapsed="false">
      <c r="A12" s="25" t="s">
        <v>629</v>
      </c>
      <c r="B12" s="9"/>
      <c r="C12" s="9"/>
      <c r="D12" s="9"/>
      <c r="E12" s="9"/>
      <c r="F12" s="13" t="n">
        <f aca="false">F11-F10</f>
        <v>11400000</v>
      </c>
      <c r="G12" s="9"/>
    </row>
    <row r="13" customFormat="false" ht="15" hidden="false" customHeight="false" outlineLevel="0" collapsed="false">
      <c r="A13" s="25" t="s">
        <v>602</v>
      </c>
      <c r="B13" s="9"/>
      <c r="C13" s="9"/>
      <c r="D13" s="9"/>
      <c r="E13" s="9"/>
      <c r="F13" s="9" t="str">
        <f aca="false">IF(F10&lt;=F11,"Dentro del techo","EXCEDE el techo")</f>
        <v>Dentro del techo</v>
      </c>
      <c r="G13" s="9"/>
    </row>
    <row r="15" customFormat="false" ht="15" hidden="false" customHeight="false" outlineLevel="0" collapsed="false">
      <c r="A15" s="2" t="s">
        <v>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1" t="s">
        <v>631</v>
      </c>
    </row>
    <row r="2" customFormat="false" ht="15" hidden="false" customHeight="false" outlineLevel="0" collapsed="false">
      <c r="A2" s="2" t="s">
        <v>632</v>
      </c>
    </row>
    <row r="4" customFormat="false" ht="15" hidden="false" customHeight="false" outlineLevel="0" collapsed="false">
      <c r="A4" s="8" t="s">
        <v>390</v>
      </c>
      <c r="B4" s="8" t="s">
        <v>191</v>
      </c>
      <c r="C4" s="8" t="s">
        <v>592</v>
      </c>
      <c r="D4" s="8" t="s">
        <v>593</v>
      </c>
      <c r="E4" s="8" t="s">
        <v>594</v>
      </c>
      <c r="F4" s="8" t="s">
        <v>633</v>
      </c>
    </row>
    <row r="5" customFormat="false" ht="15" hidden="false" customHeight="false" outlineLevel="0" collapsed="false">
      <c r="A5" s="9" t="s">
        <v>411</v>
      </c>
      <c r="B5" s="9" t="s">
        <v>634</v>
      </c>
      <c r="C5" s="13" t="n">
        <f aca="false">SUMPRODUCT((PBIs!$B$5:$B$32="IA-01")*PBIs!$I$5:$I$32*PBIs!$T$5:$T$32)</f>
        <v>142</v>
      </c>
      <c r="D5" s="13" t="n">
        <f aca="false">SUMPRODUCT((PBIs!$B$5:$B$32="IA-01")*PBIs!$L$5:$L$32*PBIs!$T$5:$T$32)</f>
        <v>27</v>
      </c>
      <c r="E5" s="13" t="n">
        <f aca="false">SUMPRODUCT((PBIs!$B$5:$B$32="IA-01")*PBIs!$O$5:$O$32*PBIs!$T$5:$T$32)</f>
        <v>6</v>
      </c>
      <c r="F5" s="13" t="n">
        <f aca="false">SUMPRODUCT((PBIs!$B$5:$B$32="IA-01")*PBIs!$R$5:$R$32*PBIs!$T$5:$T$32)</f>
        <v>18</v>
      </c>
    </row>
    <row r="6" customFormat="false" ht="15" hidden="false" customHeight="false" outlineLevel="0" collapsed="false">
      <c r="A6" s="9" t="s">
        <v>488</v>
      </c>
      <c r="B6" s="9" t="s">
        <v>635</v>
      </c>
      <c r="C6" s="13" t="n">
        <f aca="false">SUMPRODUCT((PBIs!$B$5:$B$32="IA-02")*PBIs!$I$5:$I$32*PBIs!$T$5:$T$32)</f>
        <v>12</v>
      </c>
      <c r="D6" s="13" t="n">
        <f aca="false">SUMPRODUCT((PBIs!$B$5:$B$32="IA-02")*PBIs!$L$5:$L$32*PBIs!$T$5:$T$32)</f>
        <v>6</v>
      </c>
      <c r="E6" s="13" t="n">
        <f aca="false">SUMPRODUCT((PBIs!$B$5:$B$32="IA-02")*PBIs!$O$5:$O$32*PBIs!$T$5:$T$32)</f>
        <v>0</v>
      </c>
      <c r="F6" s="13" t="n">
        <f aca="false">SUMPRODUCT((PBIs!$B$5:$B$32="IA-02")*PBIs!$R$5:$R$32*PBIs!$T$5:$T$32)</f>
        <v>2</v>
      </c>
    </row>
    <row r="7" customFormat="false" ht="15" hidden="false" customHeight="false" outlineLevel="0" collapsed="false">
      <c r="A7" s="9" t="s">
        <v>509</v>
      </c>
      <c r="B7" s="9" t="s">
        <v>636</v>
      </c>
      <c r="C7" s="13" t="n">
        <f aca="false">SUMPRODUCT((PBIs!$B$5:$B$32="IA-05")*PBIs!$I$5:$I$32*PBIs!$T$5:$T$32)</f>
        <v>12</v>
      </c>
      <c r="D7" s="13" t="n">
        <f aca="false">SUMPRODUCT((PBIs!$B$5:$B$32="IA-05")*PBIs!$L$5:$L$32*PBIs!$T$5:$T$32)</f>
        <v>0</v>
      </c>
      <c r="E7" s="13" t="n">
        <f aca="false">SUMPRODUCT((PBIs!$B$5:$B$32="IA-05")*PBIs!$O$5:$O$32*PBIs!$T$5:$T$32)</f>
        <v>2</v>
      </c>
      <c r="F7" s="13" t="n">
        <f aca="false">SUMPRODUCT((PBIs!$B$5:$B$32="IA-05")*PBIs!$R$5:$R$32*PBIs!$T$5:$T$32)</f>
        <v>0</v>
      </c>
    </row>
    <row r="8" customFormat="false" ht="15" hidden="false" customHeight="false" outlineLevel="0" collapsed="false">
      <c r="A8" s="9" t="s">
        <v>524</v>
      </c>
      <c r="B8" s="9" t="s">
        <v>637</v>
      </c>
      <c r="C8" s="13" t="n">
        <f aca="false">SUMPRODUCT((PBIs!$B$5:$B$32="IA-09/10")*PBIs!$I$5:$I$32*PBIs!$T$5:$T$32)</f>
        <v>10</v>
      </c>
      <c r="D8" s="13" t="n">
        <f aca="false">SUMPRODUCT((PBIs!$B$5:$B$32="IA-09/10")*PBIs!$L$5:$L$32*PBIs!$T$5:$T$32)</f>
        <v>0</v>
      </c>
      <c r="E8" s="13" t="n">
        <f aca="false">SUMPRODUCT((PBIs!$B$5:$B$32="IA-09/10")*PBIs!$O$5:$O$32*PBIs!$T$5:$T$32)</f>
        <v>2</v>
      </c>
      <c r="F8" s="13" t="n">
        <f aca="false">SUMPRODUCT((PBIs!$B$5:$B$32="IA-09/10")*PBIs!$R$5:$R$32*PBIs!$T$5:$T$32)</f>
        <v>0</v>
      </c>
    </row>
    <row r="9" customFormat="false" ht="15" hidden="false" customHeight="false" outlineLevel="0" collapsed="false">
      <c r="A9" s="9" t="s">
        <v>530</v>
      </c>
      <c r="B9" s="9" t="s">
        <v>638</v>
      </c>
      <c r="C9" s="13" t="n">
        <f aca="false">SUMPRODUCT((PBIs!$B$5:$B$32="EXT")*PBIs!$I$5:$I$32*PBIs!$T$5:$T$32)</f>
        <v>6</v>
      </c>
      <c r="D9" s="13" t="n">
        <f aca="false">SUMPRODUCT((PBIs!$B$5:$B$32="EXT")*PBIs!$L$5:$L$32*PBIs!$T$5:$T$32)</f>
        <v>2</v>
      </c>
      <c r="E9" s="13" t="n">
        <f aca="false">SUMPRODUCT((PBIs!$B$5:$B$32="EXT")*PBIs!$O$5:$O$32*PBIs!$T$5:$T$32)</f>
        <v>2</v>
      </c>
      <c r="F9" s="13" t="n">
        <f aca="false">SUMPRODUCT((PBIs!$B$5:$B$32="EXT")*PBIs!$R$5:$R$32*PBIs!$T$5:$T$32)</f>
        <v>0</v>
      </c>
    </row>
    <row r="10" customFormat="false" ht="15" hidden="false" customHeight="false" outlineLevel="0" collapsed="false">
      <c r="A10" s="9" t="s">
        <v>499</v>
      </c>
      <c r="B10" s="9" t="s">
        <v>639</v>
      </c>
      <c r="C10" s="13" t="n">
        <f aca="false">SUMPRODUCT((PBIs!$B$5:$B$32="IA-04")*PBIs!$I$5:$I$32*PBIs!$T$5:$T$32)</f>
        <v>0</v>
      </c>
      <c r="D10" s="13" t="n">
        <f aca="false">SUMPRODUCT((PBIs!$B$5:$B$32="IA-04")*PBIs!$L$5:$L$32*PBIs!$T$5:$T$32)</f>
        <v>0</v>
      </c>
      <c r="E10" s="13" t="n">
        <f aca="false">SUMPRODUCT((PBIs!$B$5:$B$32="IA-04")*PBIs!$O$5:$O$32*PBIs!$T$5:$T$32)</f>
        <v>0</v>
      </c>
      <c r="F10" s="13" t="n">
        <f aca="false">SUMPRODUCT((PBIs!$B$5:$B$32="IA-04")*PBIs!$R$5:$R$32*PBIs!$T$5:$T$32)</f>
        <v>0</v>
      </c>
    </row>
    <row r="11" customFormat="false" ht="15" hidden="false" customHeight="false" outlineLevel="0" collapsed="false">
      <c r="A11" s="25" t="s">
        <v>640</v>
      </c>
      <c r="B11" s="9"/>
      <c r="C11" s="13" t="n">
        <f aca="false">SUM(C5:C10)</f>
        <v>182</v>
      </c>
      <c r="D11" s="13" t="n">
        <f aca="false">SUM(D5:D10)</f>
        <v>35</v>
      </c>
      <c r="E11" s="13" t="n">
        <f aca="false">SUM(E5:E10)</f>
        <v>12</v>
      </c>
      <c r="F11" s="13" t="n">
        <f aca="false">SUM(F5:F10)</f>
        <v>20</v>
      </c>
    </row>
    <row r="12" customFormat="false" ht="15" hidden="false" customHeight="false" outlineLevel="0" collapsed="false">
      <c r="A12" s="25" t="s">
        <v>600</v>
      </c>
      <c r="B12" s="9"/>
      <c r="C12" s="23" t="n">
        <f aca="false">Datos!$C$27</f>
        <v>240</v>
      </c>
      <c r="D12" s="23" t="n">
        <f aca="false">Datos!$C$28</f>
        <v>35</v>
      </c>
      <c r="E12" s="23" t="n">
        <f aca="false">Datos!$C$29</f>
        <v>12</v>
      </c>
      <c r="F12" s="23" t="n">
        <f aca="false">Datos!$C$30</f>
        <v>20</v>
      </c>
    </row>
    <row r="13" customFormat="false" ht="28.35" hidden="false" customHeight="false" outlineLevel="0" collapsed="false">
      <c r="A13" s="25" t="s">
        <v>641</v>
      </c>
      <c r="B13" s="9" t="s">
        <v>642</v>
      </c>
      <c r="C13" s="29" t="n">
        <f aca="false">C12-C11</f>
        <v>58</v>
      </c>
      <c r="D13" s="29" t="n">
        <f aca="false">D12-D11</f>
        <v>0</v>
      </c>
      <c r="E13" s="29" t="n">
        <f aca="false">E12-E11</f>
        <v>0</v>
      </c>
      <c r="F13" s="29" t="n">
        <f aca="false">F12-F11</f>
        <v>0</v>
      </c>
    </row>
    <row r="14" customFormat="false" ht="15" hidden="false" customHeight="false" outlineLevel="0" collapsed="false">
      <c r="A14" s="25" t="s">
        <v>613</v>
      </c>
      <c r="B14" s="9"/>
      <c r="C14" s="27" t="n">
        <f aca="false">C11/C12</f>
        <v>0.758333333333333</v>
      </c>
      <c r="D14" s="27" t="n">
        <f aca="false">D11/D12</f>
        <v>1</v>
      </c>
      <c r="E14" s="27" t="n">
        <f aca="false">E11/E12</f>
        <v>1</v>
      </c>
      <c r="F14" s="27" t="n">
        <f aca="false">F11/F12</f>
        <v>1</v>
      </c>
    </row>
    <row r="15" customFormat="false" ht="15" hidden="false" customHeight="false" outlineLevel="0" collapsed="false">
      <c r="A15" s="25" t="s">
        <v>602</v>
      </c>
      <c r="B15" s="9"/>
      <c r="C15" s="9" t="str">
        <f aca="false">IF(C11&lt;=C12,"Cabe","EXCEDE")</f>
        <v>Cabe</v>
      </c>
      <c r="D15" s="9" t="str">
        <f aca="false">IF(D11&lt;=D12,"Cabe","EXCEDE")</f>
        <v>Cabe</v>
      </c>
      <c r="E15" s="9" t="str">
        <f aca="false">IF(E11&lt;=E12,"Cabe","EXCEDE")</f>
        <v>Cabe</v>
      </c>
      <c r="F15" s="9" t="str">
        <f aca="false">IF(F11&lt;=F12,"Cabe","EXCEDE")</f>
        <v>Cabe</v>
      </c>
    </row>
    <row r="16" customFormat="false" ht="26.85" hidden="false" customHeight="false" outlineLevel="0" collapsed="false">
      <c r="A16" s="25" t="s">
        <v>643</v>
      </c>
      <c r="B16" s="9"/>
      <c r="C16" s="9" t="str">
        <f aca="false">IF(C13&gt;=Supuestos!$C$18,"Reserva OK","Reserva insuficiente")</f>
        <v>Reserva OK</v>
      </c>
      <c r="D16" s="9"/>
      <c r="E16" s="9"/>
      <c r="F16" s="9"/>
    </row>
    <row r="18" customFormat="false" ht="26.85" hidden="false" customHeight="false" outlineLevel="0" collapsed="false">
      <c r="A18" s="25" t="s">
        <v>644</v>
      </c>
      <c r="B18" s="9"/>
      <c r="C18" s="20" t="n">
        <f aca="false">Fondo_Externo!F10</f>
        <v>18600000</v>
      </c>
      <c r="D18" s="9"/>
      <c r="E18" s="9"/>
      <c r="F18" s="9"/>
    </row>
    <row r="19" customFormat="false" ht="26.85" hidden="false" customHeight="false" outlineLevel="0" collapsed="false">
      <c r="A19" s="25" t="s">
        <v>645</v>
      </c>
      <c r="B19" s="9"/>
      <c r="C19" s="20" t="n">
        <f aca="false">Fondo_Externo!F12</f>
        <v>11400000</v>
      </c>
      <c r="D19" s="9"/>
      <c r="E19" s="9"/>
      <c r="F1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1" t="s">
        <v>646</v>
      </c>
    </row>
    <row r="2" customFormat="false" ht="15" hidden="false" customHeight="false" outlineLevel="0" collapsed="false">
      <c r="A2" s="2" t="s">
        <v>647</v>
      </c>
    </row>
    <row r="4" customFormat="false" ht="26.85" hidden="false" customHeight="false" outlineLevel="0" collapsed="false">
      <c r="A4" s="8" t="s">
        <v>40</v>
      </c>
      <c r="B4" s="8" t="s">
        <v>648</v>
      </c>
      <c r="C4" s="8" t="s">
        <v>649</v>
      </c>
      <c r="D4" s="8" t="s">
        <v>650</v>
      </c>
      <c r="E4" s="8" t="s">
        <v>651</v>
      </c>
      <c r="F4" s="8" t="s">
        <v>652</v>
      </c>
      <c r="G4" s="8" t="s">
        <v>653</v>
      </c>
      <c r="H4" s="8" t="s">
        <v>654</v>
      </c>
      <c r="I4" s="8" t="s">
        <v>655</v>
      </c>
    </row>
    <row r="5" customFormat="false" ht="15" hidden="false" customHeight="false" outlineLevel="0" collapsed="false">
      <c r="A5" s="9" t="s">
        <v>411</v>
      </c>
      <c r="B5" s="9" t="s">
        <v>656</v>
      </c>
      <c r="C5" s="9" t="s">
        <v>657</v>
      </c>
      <c r="D5" s="9" t="s">
        <v>658</v>
      </c>
      <c r="E5" s="10" t="n">
        <v>60</v>
      </c>
      <c r="F5" s="10" t="n">
        <v>110</v>
      </c>
      <c r="G5" s="9" t="s">
        <v>659</v>
      </c>
      <c r="H5" s="9" t="s">
        <v>660</v>
      </c>
      <c r="I5" s="9" t="s">
        <v>661</v>
      </c>
    </row>
    <row r="6" customFormat="false" ht="15" hidden="false" customHeight="false" outlineLevel="0" collapsed="false">
      <c r="A6" s="9" t="s">
        <v>488</v>
      </c>
      <c r="B6" s="9" t="s">
        <v>662</v>
      </c>
      <c r="C6" s="9" t="s">
        <v>663</v>
      </c>
      <c r="D6" s="9" t="s">
        <v>664</v>
      </c>
      <c r="E6" s="10" t="n">
        <v>140</v>
      </c>
      <c r="F6" s="10" t="n">
        <v>240</v>
      </c>
      <c r="G6" s="9" t="s">
        <v>665</v>
      </c>
      <c r="H6" s="9" t="s">
        <v>666</v>
      </c>
      <c r="I6" s="9" t="s">
        <v>667</v>
      </c>
    </row>
    <row r="7" customFormat="false" ht="15" hidden="false" customHeight="false" outlineLevel="0" collapsed="false">
      <c r="A7" s="9" t="s">
        <v>668</v>
      </c>
      <c r="B7" s="9" t="s">
        <v>669</v>
      </c>
      <c r="C7" s="9" t="s">
        <v>670</v>
      </c>
      <c r="D7" s="9" t="s">
        <v>671</v>
      </c>
      <c r="E7" s="10" t="n">
        <v>35</v>
      </c>
      <c r="F7" s="10" t="n">
        <v>65</v>
      </c>
      <c r="G7" s="9" t="s">
        <v>672</v>
      </c>
      <c r="H7" s="9" t="s">
        <v>673</v>
      </c>
      <c r="I7" s="9" t="s">
        <v>674</v>
      </c>
    </row>
    <row r="8" customFormat="false" ht="28.35" hidden="false" customHeight="false" outlineLevel="0" collapsed="false">
      <c r="A8" s="9" t="s">
        <v>499</v>
      </c>
      <c r="B8" s="9" t="s">
        <v>675</v>
      </c>
      <c r="C8" s="9" t="s">
        <v>676</v>
      </c>
      <c r="D8" s="9" t="s">
        <v>677</v>
      </c>
      <c r="E8" s="10" t="n">
        <v>45</v>
      </c>
      <c r="F8" s="10" t="n">
        <v>95</v>
      </c>
      <c r="G8" s="9" t="s">
        <v>678</v>
      </c>
      <c r="H8" s="9" t="s">
        <v>679</v>
      </c>
      <c r="I8" s="9" t="s">
        <v>680</v>
      </c>
    </row>
    <row r="9" customFormat="false" ht="15" hidden="false" customHeight="false" outlineLevel="0" collapsed="false">
      <c r="A9" s="9" t="s">
        <v>509</v>
      </c>
      <c r="B9" s="9" t="s">
        <v>681</v>
      </c>
      <c r="C9" s="9" t="s">
        <v>682</v>
      </c>
      <c r="D9" s="9" t="s">
        <v>683</v>
      </c>
      <c r="E9" s="10" t="n">
        <v>70</v>
      </c>
      <c r="F9" s="10" t="n">
        <v>120</v>
      </c>
      <c r="G9" s="9" t="s">
        <v>684</v>
      </c>
      <c r="H9" s="9" t="s">
        <v>666</v>
      </c>
      <c r="I9" s="9" t="s">
        <v>685</v>
      </c>
    </row>
    <row r="10" customFormat="false" ht="15" hidden="false" customHeight="false" outlineLevel="0" collapsed="false">
      <c r="A10" s="9" t="s">
        <v>686</v>
      </c>
      <c r="B10" s="9" t="s">
        <v>687</v>
      </c>
      <c r="C10" s="9" t="s">
        <v>657</v>
      </c>
      <c r="D10" s="9" t="s">
        <v>688</v>
      </c>
      <c r="E10" s="10" t="n">
        <v>40</v>
      </c>
      <c r="F10" s="10" t="n">
        <v>75</v>
      </c>
      <c r="G10" s="9" t="s">
        <v>689</v>
      </c>
      <c r="H10" s="9" t="s">
        <v>690</v>
      </c>
      <c r="I10" s="9" t="s">
        <v>691</v>
      </c>
    </row>
    <row r="11" customFormat="false" ht="15" hidden="false" customHeight="false" outlineLevel="0" collapsed="false">
      <c r="A11" s="9" t="s">
        <v>692</v>
      </c>
      <c r="B11" s="9" t="s">
        <v>693</v>
      </c>
      <c r="C11" s="9" t="s">
        <v>657</v>
      </c>
      <c r="D11" s="9" t="s">
        <v>694</v>
      </c>
      <c r="E11" s="10" t="n">
        <v>45</v>
      </c>
      <c r="F11" s="10" t="n">
        <v>85</v>
      </c>
      <c r="G11" s="9" t="s">
        <v>695</v>
      </c>
      <c r="H11" s="9" t="s">
        <v>696</v>
      </c>
      <c r="I11" s="9" t="s">
        <v>697</v>
      </c>
    </row>
    <row r="12" customFormat="false" ht="15" hidden="false" customHeight="false" outlineLevel="0" collapsed="false">
      <c r="A12" s="9" t="s">
        <v>698</v>
      </c>
      <c r="B12" s="9" t="s">
        <v>699</v>
      </c>
      <c r="C12" s="9" t="s">
        <v>700</v>
      </c>
      <c r="D12" s="9" t="s">
        <v>701</v>
      </c>
      <c r="E12" s="10" t="n">
        <v>130</v>
      </c>
      <c r="F12" s="10" t="n">
        <v>230</v>
      </c>
      <c r="G12" s="9" t="s">
        <v>702</v>
      </c>
      <c r="H12" s="9" t="s">
        <v>703</v>
      </c>
      <c r="I12" s="9" t="s">
        <v>704</v>
      </c>
    </row>
    <row r="13" customFormat="false" ht="15" hidden="false" customHeight="false" outlineLevel="0" collapsed="false">
      <c r="A13" s="9" t="s">
        <v>705</v>
      </c>
      <c r="B13" s="9" t="s">
        <v>706</v>
      </c>
      <c r="C13" s="9" t="s">
        <v>707</v>
      </c>
      <c r="D13" s="9" t="s">
        <v>708</v>
      </c>
      <c r="E13" s="10" t="n">
        <v>60</v>
      </c>
      <c r="F13" s="10" t="n">
        <v>110</v>
      </c>
      <c r="G13" s="9" t="s">
        <v>709</v>
      </c>
      <c r="H13" s="9" t="s">
        <v>710</v>
      </c>
      <c r="I13" s="9" t="s">
        <v>711</v>
      </c>
    </row>
    <row r="14" customFormat="false" ht="15" hidden="false" customHeight="false" outlineLevel="0" collapsed="false">
      <c r="A14" s="9" t="s">
        <v>712</v>
      </c>
      <c r="B14" s="9" t="s">
        <v>713</v>
      </c>
      <c r="C14" s="9" t="s">
        <v>707</v>
      </c>
      <c r="D14" s="9" t="s">
        <v>714</v>
      </c>
      <c r="E14" s="10" t="n">
        <v>95</v>
      </c>
      <c r="F14" s="10" t="n">
        <v>170</v>
      </c>
      <c r="G14" s="9" t="s">
        <v>715</v>
      </c>
      <c r="H14" s="9" t="s">
        <v>716</v>
      </c>
      <c r="I14" s="9" t="s">
        <v>717</v>
      </c>
    </row>
    <row r="15" customFormat="false" ht="15" hidden="false" customHeight="false" outlineLevel="0" collapsed="false">
      <c r="A15" s="9" t="s">
        <v>718</v>
      </c>
      <c r="B15" s="9" t="s">
        <v>719</v>
      </c>
      <c r="C15" s="9" t="s">
        <v>700</v>
      </c>
      <c r="D15" s="9" t="s">
        <v>720</v>
      </c>
      <c r="E15" s="10" t="n">
        <v>110</v>
      </c>
      <c r="F15" s="10" t="n">
        <v>190</v>
      </c>
      <c r="G15" s="9" t="s">
        <v>709</v>
      </c>
      <c r="H15" s="9" t="s">
        <v>721</v>
      </c>
      <c r="I15" s="9" t="s">
        <v>697</v>
      </c>
    </row>
    <row r="16" customFormat="false" ht="15" hidden="false" customHeight="false" outlineLevel="0" collapsed="false">
      <c r="A16" s="9" t="s">
        <v>722</v>
      </c>
      <c r="B16" s="9" t="s">
        <v>723</v>
      </c>
      <c r="C16" s="9" t="s">
        <v>676</v>
      </c>
      <c r="D16" s="9" t="s">
        <v>724</v>
      </c>
      <c r="E16" s="10" t="n">
        <v>65</v>
      </c>
      <c r="F16" s="10" t="n">
        <v>125</v>
      </c>
      <c r="G16" s="9" t="s">
        <v>725</v>
      </c>
      <c r="H16" s="9" t="s">
        <v>696</v>
      </c>
      <c r="I16" s="9" t="s">
        <v>697</v>
      </c>
    </row>
    <row r="17" customFormat="false" ht="15" hidden="false" customHeight="false" outlineLevel="0" collapsed="false">
      <c r="A17" s="9" t="s">
        <v>726</v>
      </c>
      <c r="B17" s="9" t="s">
        <v>727</v>
      </c>
      <c r="C17" s="9" t="s">
        <v>663</v>
      </c>
      <c r="D17" s="9" t="s">
        <v>728</v>
      </c>
      <c r="E17" s="10" t="n">
        <v>105</v>
      </c>
      <c r="F17" s="10" t="n">
        <v>200</v>
      </c>
      <c r="G17" s="9" t="s">
        <v>729</v>
      </c>
      <c r="H17" s="9" t="s">
        <v>696</v>
      </c>
      <c r="I17" s="9" t="s">
        <v>697</v>
      </c>
    </row>
    <row r="18" customFormat="false" ht="15" hidden="false" customHeight="false" outlineLevel="0" collapsed="false">
      <c r="A18" s="9" t="s">
        <v>730</v>
      </c>
      <c r="B18" s="9" t="s">
        <v>731</v>
      </c>
      <c r="C18" s="9" t="s">
        <v>700</v>
      </c>
      <c r="D18" s="9" t="s">
        <v>732</v>
      </c>
      <c r="E18" s="10" t="n">
        <v>125</v>
      </c>
      <c r="F18" s="10" t="n">
        <v>210</v>
      </c>
      <c r="G18" s="9" t="s">
        <v>733</v>
      </c>
      <c r="H18" s="9" t="s">
        <v>703</v>
      </c>
      <c r="I18" s="9" t="s">
        <v>704</v>
      </c>
    </row>
    <row r="19" customFormat="false" ht="15" hidden="false" customHeight="false" outlineLevel="0" collapsed="false">
      <c r="A19" s="9" t="s">
        <v>734</v>
      </c>
      <c r="B19" s="9" t="s">
        <v>735</v>
      </c>
      <c r="C19" s="9" t="s">
        <v>670</v>
      </c>
      <c r="D19" s="9" t="s">
        <v>736</v>
      </c>
      <c r="E19" s="10" t="n">
        <v>90</v>
      </c>
      <c r="F19" s="10" t="n">
        <v>160</v>
      </c>
      <c r="G19" s="9" t="s">
        <v>737</v>
      </c>
      <c r="H19" s="9" t="s">
        <v>738</v>
      </c>
      <c r="I19" s="9" t="s">
        <v>739</v>
      </c>
    </row>
    <row r="21" customFormat="false" ht="15" hidden="false" customHeight="false" outlineLevel="0" collapsed="false">
      <c r="A21" s="9"/>
      <c r="B21" s="9"/>
      <c r="C21" s="9"/>
      <c r="D21" s="25" t="s">
        <v>740</v>
      </c>
      <c r="E21" s="13" t="n">
        <f aca="false">SUM(E5:E19)</f>
        <v>1215</v>
      </c>
      <c r="F21" s="13" t="n">
        <f aca="false">SUM(F5:F19)</f>
        <v>2185</v>
      </c>
    </row>
    <row r="22" customFormat="false" ht="26.85" hidden="false" customHeight="false" outlineLevel="0" collapsed="false">
      <c r="A22" s="9"/>
      <c r="B22" s="9"/>
      <c r="C22" s="9"/>
      <c r="D22" s="25" t="s">
        <v>741</v>
      </c>
      <c r="E22" s="15" t="n">
        <f aca="false">E21/Datos!$C$27</f>
        <v>5.0625</v>
      </c>
      <c r="F22" s="15" t="n">
        <f aca="false">F21/Datos!$C$27</f>
        <v>9.10416666666667</v>
      </c>
    </row>
    <row r="23" customFormat="false" ht="26.85" hidden="false" customHeight="false" outlineLevel="0" collapsed="false">
      <c r="A23" s="9"/>
      <c r="B23" s="9"/>
      <c r="C23" s="9"/>
      <c r="D23" s="25" t="s">
        <v>742</v>
      </c>
      <c r="E23" s="13" t="n">
        <f aca="false">E6+E8+E9</f>
        <v>255</v>
      </c>
      <c r="F23" s="13" t="n">
        <f aca="false">F6+F8+F9</f>
        <v>455</v>
      </c>
    </row>
    <row r="25" customFormat="false" ht="15" hidden="false" customHeight="false" outlineLevel="0" collapsed="false">
      <c r="A25" s="2" t="s">
        <v>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80"/>
    <col collapsed="false" customWidth="true" hidden="false" outlineLevel="0" max="4" min="4" style="0" width="45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744</v>
      </c>
    </row>
    <row r="2" customFormat="false" ht="15" hidden="false" customHeight="false" outlineLevel="0" collapsed="false">
      <c r="A2" s="2" t="s">
        <v>745</v>
      </c>
    </row>
    <row r="4" customFormat="false" ht="15" hidden="false" customHeight="false" outlineLevel="0" collapsed="false">
      <c r="A4" s="8" t="s">
        <v>40</v>
      </c>
      <c r="B4" s="8" t="s">
        <v>746</v>
      </c>
      <c r="C4" s="8" t="s">
        <v>747</v>
      </c>
      <c r="D4" s="8" t="s">
        <v>748</v>
      </c>
      <c r="E4" s="8" t="s">
        <v>749</v>
      </c>
    </row>
    <row r="5" customFormat="false" ht="15" hidden="false" customHeight="false" outlineLevel="0" collapsed="false">
      <c r="A5" s="9" t="s">
        <v>750</v>
      </c>
      <c r="B5" s="9" t="s">
        <v>751</v>
      </c>
      <c r="C5" s="9" t="s">
        <v>752</v>
      </c>
      <c r="D5" s="9" t="s">
        <v>697</v>
      </c>
      <c r="E5" s="9" t="s">
        <v>753</v>
      </c>
    </row>
    <row r="6" customFormat="false" ht="28.35" hidden="false" customHeight="false" outlineLevel="0" collapsed="false">
      <c r="A6" s="9" t="s">
        <v>754</v>
      </c>
      <c r="B6" s="9" t="s">
        <v>751</v>
      </c>
      <c r="C6" s="9" t="s">
        <v>755</v>
      </c>
      <c r="D6" s="9" t="s">
        <v>756</v>
      </c>
      <c r="E6" s="9" t="s">
        <v>753</v>
      </c>
    </row>
    <row r="7" customFormat="false" ht="15" hidden="false" customHeight="false" outlineLevel="0" collapsed="false">
      <c r="A7" s="9" t="s">
        <v>757</v>
      </c>
      <c r="B7" s="9" t="s">
        <v>751</v>
      </c>
      <c r="C7" s="9" t="s">
        <v>758</v>
      </c>
      <c r="D7" s="9" t="s">
        <v>759</v>
      </c>
      <c r="E7" s="9" t="s">
        <v>753</v>
      </c>
    </row>
    <row r="8" customFormat="false" ht="15" hidden="false" customHeight="false" outlineLevel="0" collapsed="false">
      <c r="A8" s="9" t="s">
        <v>760</v>
      </c>
      <c r="B8" s="9" t="s">
        <v>751</v>
      </c>
      <c r="C8" s="9" t="s">
        <v>761</v>
      </c>
      <c r="D8" s="9" t="s">
        <v>762</v>
      </c>
      <c r="E8" s="9" t="s">
        <v>753</v>
      </c>
    </row>
    <row r="9" customFormat="false" ht="15" hidden="false" customHeight="false" outlineLevel="0" collapsed="false">
      <c r="A9" s="9" t="s">
        <v>763</v>
      </c>
      <c r="B9" s="9" t="s">
        <v>751</v>
      </c>
      <c r="C9" s="9" t="s">
        <v>764</v>
      </c>
      <c r="D9" s="9" t="s">
        <v>765</v>
      </c>
      <c r="E9" s="9" t="s">
        <v>753</v>
      </c>
    </row>
    <row r="10" customFormat="false" ht="28.35" hidden="false" customHeight="false" outlineLevel="0" collapsed="false">
      <c r="A10" s="9" t="s">
        <v>766</v>
      </c>
      <c r="B10" s="9" t="s">
        <v>751</v>
      </c>
      <c r="C10" s="9" t="s">
        <v>767</v>
      </c>
      <c r="D10" s="9" t="s">
        <v>768</v>
      </c>
      <c r="E10" s="9" t="s">
        <v>753</v>
      </c>
    </row>
    <row r="11" customFormat="false" ht="15" hidden="false" customHeight="false" outlineLevel="0" collapsed="false">
      <c r="A11" s="9" t="s">
        <v>769</v>
      </c>
      <c r="B11" s="9" t="s">
        <v>751</v>
      </c>
      <c r="C11" s="9" t="s">
        <v>770</v>
      </c>
      <c r="D11" s="9" t="s">
        <v>771</v>
      </c>
      <c r="E11" s="9" t="s">
        <v>753</v>
      </c>
    </row>
    <row r="12" customFormat="false" ht="28.35" hidden="false" customHeight="false" outlineLevel="0" collapsed="false">
      <c r="A12" s="9" t="s">
        <v>772</v>
      </c>
      <c r="B12" s="9" t="s">
        <v>751</v>
      </c>
      <c r="C12" s="9" t="s">
        <v>773</v>
      </c>
      <c r="D12" s="9" t="s">
        <v>774</v>
      </c>
      <c r="E12" s="9" t="s">
        <v>753</v>
      </c>
    </row>
    <row r="13" customFormat="false" ht="28.35" hidden="false" customHeight="false" outlineLevel="0" collapsed="false">
      <c r="A13" s="9" t="s">
        <v>775</v>
      </c>
      <c r="B13" s="9" t="s">
        <v>751</v>
      </c>
      <c r="C13" s="9" t="s">
        <v>776</v>
      </c>
      <c r="D13" s="9" t="s">
        <v>777</v>
      </c>
      <c r="E13" s="9" t="s">
        <v>753</v>
      </c>
    </row>
    <row r="14" customFormat="false" ht="15" hidden="false" customHeight="false" outlineLevel="0" collapsed="false">
      <c r="A14" s="9" t="s">
        <v>778</v>
      </c>
      <c r="B14" s="9" t="s">
        <v>751</v>
      </c>
      <c r="C14" s="9" t="s">
        <v>779</v>
      </c>
      <c r="D14" s="9" t="s">
        <v>780</v>
      </c>
      <c r="E14" s="9" t="s">
        <v>753</v>
      </c>
    </row>
    <row r="15" customFormat="false" ht="15" hidden="false" customHeight="false" outlineLevel="0" collapsed="false">
      <c r="A15" s="9" t="s">
        <v>781</v>
      </c>
      <c r="B15" s="9" t="s">
        <v>751</v>
      </c>
      <c r="C15" s="9" t="s">
        <v>782</v>
      </c>
      <c r="D15" s="9" t="s">
        <v>783</v>
      </c>
      <c r="E15" s="9" t="s">
        <v>753</v>
      </c>
    </row>
    <row r="16" customFormat="false" ht="15" hidden="false" customHeight="false" outlineLevel="0" collapsed="false">
      <c r="A16" s="9" t="s">
        <v>784</v>
      </c>
      <c r="B16" s="9" t="s">
        <v>751</v>
      </c>
      <c r="C16" s="9" t="s">
        <v>785</v>
      </c>
      <c r="D16" s="9" t="s">
        <v>786</v>
      </c>
      <c r="E16" s="9" t="s">
        <v>753</v>
      </c>
    </row>
    <row r="17" customFormat="false" ht="28.35" hidden="false" customHeight="false" outlineLevel="0" collapsed="false">
      <c r="A17" s="9" t="s">
        <v>787</v>
      </c>
      <c r="B17" s="9" t="s">
        <v>751</v>
      </c>
      <c r="C17" s="9" t="s">
        <v>788</v>
      </c>
      <c r="D17" s="9" t="s">
        <v>789</v>
      </c>
      <c r="E17" s="9" t="s">
        <v>753</v>
      </c>
    </row>
    <row r="18" customFormat="false" ht="28.35" hidden="false" customHeight="false" outlineLevel="0" collapsed="false">
      <c r="A18" s="9" t="s">
        <v>790</v>
      </c>
      <c r="B18" s="9" t="s">
        <v>751</v>
      </c>
      <c r="C18" s="9" t="s">
        <v>791</v>
      </c>
      <c r="D18" s="9" t="s">
        <v>792</v>
      </c>
      <c r="E18" s="9" t="s">
        <v>753</v>
      </c>
    </row>
    <row r="19" customFormat="false" ht="15" hidden="false" customHeight="false" outlineLevel="0" collapsed="false">
      <c r="A19" s="9" t="s">
        <v>793</v>
      </c>
      <c r="B19" s="9" t="s">
        <v>751</v>
      </c>
      <c r="C19" s="9" t="s">
        <v>794</v>
      </c>
      <c r="D19" s="9" t="s">
        <v>795</v>
      </c>
      <c r="E19" s="9" t="s">
        <v>753</v>
      </c>
    </row>
    <row r="20" customFormat="false" ht="28.35" hidden="false" customHeight="false" outlineLevel="0" collapsed="false">
      <c r="A20" s="9" t="s">
        <v>796</v>
      </c>
      <c r="B20" s="9" t="s">
        <v>751</v>
      </c>
      <c r="C20" s="9" t="s">
        <v>797</v>
      </c>
      <c r="D20" s="9" t="s">
        <v>798</v>
      </c>
      <c r="E20" s="9" t="s">
        <v>753</v>
      </c>
    </row>
    <row r="21" customFormat="false" ht="15" hidden="false" customHeight="false" outlineLevel="0" collapsed="false">
      <c r="A21" s="9" t="s">
        <v>799</v>
      </c>
      <c r="B21" s="9" t="s">
        <v>751</v>
      </c>
      <c r="C21" s="9" t="s">
        <v>800</v>
      </c>
      <c r="D21" s="9" t="s">
        <v>801</v>
      </c>
      <c r="E21" s="9" t="s">
        <v>753</v>
      </c>
    </row>
    <row r="22" customFormat="false" ht="15" hidden="false" customHeight="false" outlineLevel="0" collapsed="false">
      <c r="A22" s="9" t="s">
        <v>802</v>
      </c>
      <c r="B22" s="9" t="s">
        <v>751</v>
      </c>
      <c r="C22" s="9" t="s">
        <v>803</v>
      </c>
      <c r="D22" s="9" t="s">
        <v>804</v>
      </c>
      <c r="E22" s="9" t="s">
        <v>753</v>
      </c>
    </row>
    <row r="23" customFormat="false" ht="15" hidden="false" customHeight="false" outlineLevel="0" collapsed="false">
      <c r="A23" s="9" t="s">
        <v>805</v>
      </c>
      <c r="B23" s="9" t="s">
        <v>751</v>
      </c>
      <c r="C23" s="9" t="s">
        <v>806</v>
      </c>
      <c r="D23" s="9" t="s">
        <v>807</v>
      </c>
      <c r="E23" s="9" t="s">
        <v>753</v>
      </c>
    </row>
    <row r="24" customFormat="false" ht="28.35" hidden="false" customHeight="false" outlineLevel="0" collapsed="false">
      <c r="A24" s="9" t="s">
        <v>808</v>
      </c>
      <c r="B24" s="9" t="s">
        <v>751</v>
      </c>
      <c r="C24" s="9" t="s">
        <v>809</v>
      </c>
      <c r="D24" s="9" t="s">
        <v>810</v>
      </c>
      <c r="E24" s="9" t="s">
        <v>753</v>
      </c>
    </row>
    <row r="25" customFormat="false" ht="41.75" hidden="false" customHeight="false" outlineLevel="0" collapsed="false">
      <c r="A25" s="9" t="s">
        <v>811</v>
      </c>
      <c r="B25" s="9" t="s">
        <v>751</v>
      </c>
      <c r="C25" s="9" t="s">
        <v>812</v>
      </c>
      <c r="D25" s="9" t="s">
        <v>813</v>
      </c>
      <c r="E25" s="9" t="s">
        <v>753</v>
      </c>
    </row>
    <row r="26" customFormat="false" ht="28.35" hidden="false" customHeight="false" outlineLevel="0" collapsed="false">
      <c r="A26" s="9" t="s">
        <v>814</v>
      </c>
      <c r="B26" s="9" t="s">
        <v>751</v>
      </c>
      <c r="C26" s="9" t="s">
        <v>815</v>
      </c>
      <c r="D26" s="9" t="s">
        <v>816</v>
      </c>
      <c r="E26" s="9" t="s">
        <v>753</v>
      </c>
    </row>
    <row r="27" customFormat="false" ht="28.35" hidden="false" customHeight="false" outlineLevel="0" collapsed="false">
      <c r="A27" s="9" t="s">
        <v>817</v>
      </c>
      <c r="B27" s="9" t="s">
        <v>751</v>
      </c>
      <c r="C27" s="9" t="s">
        <v>818</v>
      </c>
      <c r="D27" s="9" t="s">
        <v>819</v>
      </c>
      <c r="E27" s="9" t="s">
        <v>753</v>
      </c>
    </row>
    <row r="28" customFormat="false" ht="15" hidden="false" customHeight="false" outlineLevel="0" collapsed="false">
      <c r="A28" s="9" t="s">
        <v>820</v>
      </c>
      <c r="B28" s="9" t="s">
        <v>751</v>
      </c>
      <c r="C28" s="9" t="s">
        <v>821</v>
      </c>
      <c r="D28" s="9" t="s">
        <v>822</v>
      </c>
      <c r="E28" s="9" t="s">
        <v>753</v>
      </c>
    </row>
    <row r="29" customFormat="false" ht="41.75" hidden="false" customHeight="false" outlineLevel="0" collapsed="false">
      <c r="A29" s="9" t="s">
        <v>823</v>
      </c>
      <c r="B29" s="9" t="s">
        <v>751</v>
      </c>
      <c r="C29" s="9" t="s">
        <v>824</v>
      </c>
      <c r="D29" s="9" t="s">
        <v>825</v>
      </c>
      <c r="E29" s="9" t="s">
        <v>753</v>
      </c>
    </row>
    <row r="30" customFormat="false" ht="28.35" hidden="false" customHeight="false" outlineLevel="0" collapsed="false">
      <c r="A30" s="9" t="s">
        <v>826</v>
      </c>
      <c r="B30" s="9" t="s">
        <v>751</v>
      </c>
      <c r="C30" s="9" t="s">
        <v>827</v>
      </c>
      <c r="D30" s="9" t="s">
        <v>697</v>
      </c>
      <c r="E30" s="9" t="s">
        <v>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2026-10-22T14:41:01Z</dcterms:created>
  <dc:creator>openpyxl</dc:creator>
  <dc:description/>
  <dc:language>en-US</dc:language>
  <cp:lastModifiedBy/>
  <dcterms:modified xsi:type="dcterms:W3CDTF">2026-10-22T14:41:01Z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